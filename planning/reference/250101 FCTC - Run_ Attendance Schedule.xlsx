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" sheetId="1" r:id="rId5"/>
    <sheet state="visible" name="2026" sheetId="2" r:id="rId6"/>
    <sheet state="hidden" name="2025" sheetId="3" r:id="rId7"/>
    <sheet state="visible" name="Peeps" sheetId="4" r:id="rId8"/>
    <sheet state="visible" name="Sheet3" sheetId="5" r:id="rId9"/>
  </sheets>
  <definedNames>
    <definedName name="RANK">'2026'!$F$7:$AM$11</definedName>
    <definedName hidden="1" localSheetId="3" name="_xlnm._FilterDatabase">Peeps!$A$1:$C$30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tc={14e017de-83a5-4504-abcb-31ce43e9a46c}</author>
    <author>tc={4aab93f1-2fb0-4a63-80f2-855dd07edd03}</author>
    <author>tc={76bc4411-f822-428b-8a32-e2102d188aef}</author>
    <author>tc={7dc54684-cea8-4fc8-a33e-bba46a0ba2de}</author>
    <author>tc={8018957f-2859-4b78-8e4c-daa207edb941}</author>
    <author>tc={a1425668-7d75-47c8-9a69-9a7b8a410dc4}</author>
    <author>tc={aabc6f95-d402-4d5b-bb44-a82fd02843d3}</author>
    <author>tc={be707f4c-f5f4-4045-90f5-f434162d699d}</author>
  </authors>
  <commentList>
    <comment authorId="0" ref="E11">
      <text>
        <t xml:space="preserve">From AEL GPS</t>
      </text>
    </comment>
    <comment authorId="0" ref="J11">
      <text>
        <t xml:space="preserve">Krajcar</t>
      </text>
    </comment>
    <comment authorId="0" ref="AM14">
      <text>
        <t xml:space="preserve">Connor- Dan's mate???
King- Claire's colleague</t>
      </text>
    </comment>
    <comment authorId="0" ref="AM18">
      <text>
        <t xml:space="preserve">Erin - Toby's cop mate</t>
      </text>
    </comment>
    <comment authorId="0" ref="AM23">
      <text>
        <t xml:space="preserve">Yayoi</t>
      </text>
    </comment>
    <comment authorId="0" ref="AM27">
      <text>
        <t xml:space="preserve">Dan Dewberry - Toby's work mate</t>
      </text>
    </comment>
    <comment authorId="0" ref="AM30">
      <text>
        <t xml:space="preserve">Dan Dewberry - Toby's work mate</t>
      </text>
    </comment>
    <comment authorId="0" ref="AM33">
      <text>
        <t xml:space="preserve">Dan Dewberry - Toby's work mate</t>
      </text>
    </comment>
    <comment authorId="0" ref="AM36">
      <text>
        <t xml:space="preserve">Dan Dewberry - Toby's work mate</t>
      </text>
    </comment>
    <comment authorId="0" ref="AM45">
      <text>
        <t xml:space="preserve">Jimmy- Dan's mate</t>
      </text>
    </comment>
    <comment authorId="0" ref="AM51">
      <text>
        <t xml:space="preserve">Rohan- JTC Dad</t>
      </text>
    </comment>
    <comment authorId="0" ref="AM53">
      <text>
        <t xml:space="preserve">Grant's wedding photographer - Jun?</t>
      </text>
    </comment>
    <comment authorId="0" ref="E61">
      <text>
        <t xml:space="preserve">Short walk due to Anzac day mara next day</t>
      </text>
    </comment>
    <comment authorId="0" ref="AM68">
      <text>
        <t xml:space="preserve">Luke- Shane's neighbour</t>
      </text>
    </comment>
    <comment authorId="0" ref="AM70">
      <text>
        <t xml:space="preserve">Luke- Shane's neighbour</t>
      </text>
    </comment>
    <comment authorId="0" ref="AM71">
      <text>
        <t xml:space="preserve">Luke- Shane's neighbour</t>
      </text>
    </comment>
    <comment authorId="0" ref="AM74">
      <text>
        <t xml:space="preserve">Andy? JTC Dad</t>
      </text>
    </comment>
    <comment authorId="0" ref="AM75">
      <text>
        <t xml:space="preserve">Steven- Kate's friend from NSW (Irish)</t>
      </text>
    </comment>
    <comment authorId="0" ref="AM76">
      <text>
        <t xml:space="preserve">Andy JTC</t>
      </text>
    </comment>
    <comment authorId="1" xr:uid="{14e017de-83a5-4504-abcb-31ce43e9a46c}" ref="E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estimate, AE no watch
</t>
      </text>
    </comment>
    <comment authorId="2" xr:uid="{4aab93f1-2fb0-4a63-80f2-855dd07edd03}" ref="E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estimate, AE no watch
</t>
      </text>
    </comment>
    <comment authorId="3" xr:uid="{76bc4411-f822-428b-8a32-e2102d188aef}" ref="E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estimate, AE no watch
</t>
      </text>
    </comment>
    <comment authorId="4" xr:uid="{7dc54684-cea8-4fc8-a33e-bba46a0ba2de}" ref="A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Solstice is technically 21st June
</t>
      </text>
    </comment>
    <comment authorId="5" xr:uid="{8018957f-2859-4b78-8e4c-daa207edb941}" ref="E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estimate, AE no watch
</t>
      </text>
    </comment>
    <comment authorId="6" xr:uid="{a1425668-7d75-47c8-9a69-9a7b8a410dc4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Grant GPS
</t>
      </text>
    </comment>
    <comment authorId="7" xr:uid="{aabc6f95-d402-4d5b-bb44-a82fd02843d3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estimate, AE no watch
</t>
      </text>
    </comment>
    <comment authorId="8" xr:uid="{be707f4c-f5f4-4045-90f5-f434162d699d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 GPS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tc={030a621b-acf1-45c5-b7b6-12daafe3e1ea}</author>
    <author>tc={10c2946a-91dd-44e0-ba14-0b7dbfd0ee26}</author>
    <author>tc={1501bfb5-259e-4190-8e7b-a26f0cafb123}</author>
    <author>tc={18837e07-2ef6-417f-9a8e-941ce04b2465}</author>
    <author>tc={193b9fe0-b692-4c3c-aa21-0823c3492ea9}</author>
    <author>tc={27ea7d93-753d-4a9a-b7ea-65ced5199eb2}</author>
    <author>tc={3f957bda-24f9-47fb-9754-382edda95348}</author>
    <author>tc={65a619fe-79f3-4a0b-9e9e-2b6ed2119f01}</author>
    <author>tc={6ea5ba47-9b2f-45ec-92f2-cb968d269f97}</author>
    <author>tc={6f5bca83-c535-4626-955d-47607cde88ff}</author>
    <author>tc={868ef341-d463-42c1-b758-c9d706f4c6b2}</author>
    <author>tc={8dedbdbe-e58f-4802-9cdf-e1354da834ab}</author>
    <author>tc={907414a6-8e18-4807-8f5a-2d31385d8136}</author>
    <author>tc={953a3b49-0b0b-4986-827f-d747af9ca1d8}</author>
    <author>tc={9ed82fce-cf5d-4c33-a0f3-1bd496a30393}</author>
    <author>tc={ac64c4f9-d359-4db1-967b-12c6ef807cd6}</author>
    <author>tc={ad13a872-07dc-48a7-acd0-88fe7b320cc5}</author>
    <author>tc={b1d6e3dc-dd21-4aa4-9c44-e956c3335c5b}</author>
    <author>tc={b38cb40a-88b7-483e-89f1-b603ffc356e8}</author>
    <author>tc={b452d59d-fe9e-4e99-9a15-a8b2445943e2}</author>
    <author>tc={cf687949-2149-43ed-bdb2-f6b9f814996d}</author>
    <author>tc={d4d6f281-082e-4ed7-985a-b7ede0be3e35}</author>
    <author>tc={e6a74b9a-a380-4469-9873-b7d28b85327e}</author>
    <author>tc={f58791be-65ab-4af2-ae40-c4f952e20d0f}</author>
  </authors>
  <commentList>
    <comment authorId="0" ref="E10">
      <text>
        <t xml:space="preserve">From AEL GPS</t>
      </text>
    </comment>
    <comment authorId="0" ref="J10">
      <text>
        <t xml:space="preserve">Krajcar</t>
      </text>
    </comment>
    <comment authorId="0" ref="AK11">
      <text>
        <t xml:space="preserve">Matthew Ellwood
Zoe</t>
      </text>
    </comment>
    <comment authorId="0" ref="AK12">
      <text>
        <t xml:space="preserve">Harry (Ming's mate)</t>
      </text>
    </comment>
    <comment authorId="0" ref="E13">
      <text>
        <t xml:space="preserve">scotty GPS reading</t>
      </text>
    </comment>
    <comment authorId="0" ref="AK16">
      <text>
        <t xml:space="preserve">John (Grant's mate)</t>
      </text>
    </comment>
    <comment authorId="0" ref="AK17">
      <text>
        <t xml:space="preserve">John (Grant's mate)</t>
      </text>
    </comment>
    <comment authorId="0" ref="E19">
      <text>
        <t xml:space="preserve">tarquin GPS reading</t>
      </text>
    </comment>
    <comment authorId="0" ref="AK30">
      <text>
        <t xml:space="preserve">Carson
Kate P- Claire's friend</t>
      </text>
    </comment>
    <comment authorId="0" ref="E33">
      <text>
        <t xml:space="preserve">9x9 for Toby Birthday</t>
      </text>
    </comment>
    <comment authorId="0" ref="AK38">
      <text>
        <t xml:space="preserve">Curtis
Caleb</t>
      </text>
    </comment>
    <comment authorId="0" ref="AK40">
      <text>
        <t xml:space="preserve">Caleb</t>
      </text>
    </comment>
    <comment authorId="0" ref="AK44">
      <text>
        <t xml:space="preserve">Carl- Col's brother-in-law</t>
      </text>
    </comment>
    <comment authorId="0" ref="E46">
      <text>
        <t xml:space="preserve">estimated</t>
      </text>
    </comment>
    <comment authorId="0" ref="AK47">
      <text>
        <t xml:space="preserve">Kate P- Claire's friend</t>
      </text>
    </comment>
    <comment authorId="0" ref="AK49">
      <text>
        <t xml:space="preserve">Aaron Pyke- army/ infantry. Knows Col from Strava
</t>
      </text>
    </comment>
    <comment authorId="0" ref="AK53">
      <text>
        <t xml:space="preserve">Abbey (grant +1)</t>
      </text>
    </comment>
    <comment authorId="0" ref="AK55">
      <text>
        <t xml:space="preserve">Caleb
Annie- Caleb's +1</t>
      </text>
    </comment>
    <comment authorId="0" ref="S63">
      <text>
        <t xml:space="preserve">Fraser won the FCTC Cup in 39:00 flat, 0 secs off his predicted time</t>
      </text>
    </comment>
    <comment authorId="0" ref="AK63">
      <text>
        <t xml:space="preserve">Abbey</t>
      </text>
    </comment>
    <comment authorId="0" ref="E65">
      <text>
        <t xml:space="preserve">AEL missed due to calf- not an official GPS reading (*8.25 from S Seeber)</t>
      </text>
    </comment>
    <comment authorId="0" ref="AK77">
      <text>
        <t xml:space="preserve">Caleb</t>
      </text>
    </comment>
    <comment authorId="0" ref="AK82">
      <text>
        <t xml:space="preserve">Devlin</t>
      </text>
    </comment>
    <comment authorId="0" ref="AK89">
      <text>
        <t xml:space="preserve">Andrew Bright</t>
      </text>
    </comment>
    <comment authorId="0" ref="AK109">
      <text>
        <t xml:space="preserve">Cam- Tony (Cam's Dad) and Cathy</t>
      </text>
    </comment>
    <comment authorId="0" ref="AK110">
      <text>
        <t xml:space="preserve">Robin- Shane's Primero car park contact</t>
      </text>
    </comment>
    <comment authorId="1" xr:uid="{030a621b-acf1-45c5-b7b6-12daafe3e1ea}" ref="E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
</t>
      </text>
    </comment>
    <comment authorId="2" xr:uid="{10c2946a-91dd-44e0-ba14-0b7dbfd0ee26}" ref="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3" xr:uid="{1501bfb5-259e-4190-8e7b-a26f0cafb123}" ref="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4" xr:uid="{18837e07-2ef6-417f-9a8e-941ce04b2465}" ref="E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
</t>
      </text>
    </comment>
    <comment authorId="5" xr:uid="{193b9fe0-b692-4c3c-aa21-0823c3492ea9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6" xr:uid="{27ea7d93-753d-4a9a-b7ea-65ced5199eb2}" ref="F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late pull out with injury
</t>
      </text>
    </comment>
    <comment authorId="7" xr:uid="{3f957bda-24f9-47fb-9754-382edda95348}" ref="E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Grant
</t>
      </text>
    </comment>
    <comment authorId="8" xr:uid="{65a619fe-79f3-4a0b-9e9e-2b6ed2119f01}" ref="E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9" xr:uid="{6ea5ba47-9b2f-45ec-92f2-cb968d269f97}" ref="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Grant
</t>
      </text>
    </comment>
    <comment authorId="10" xr:uid="{6f5bca83-c535-4626-955d-47607cde88ff}" ref="E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Toby
</t>
      </text>
    </comment>
    <comment authorId="11" xr:uid="{868ef341-d463-42c1-b758-c9d706f4c6b2}" ref="E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Anna
</t>
      </text>
    </comment>
    <comment authorId="12" xr:uid="{8dedbdbe-e58f-4802-9cdf-e1354da834ab}" ref="E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
</t>
      </text>
    </comment>
    <comment authorId="13" xr:uid="{907414a6-8e18-4807-8f5a-2d31385d8136}" ref="E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Scotty GPS
</t>
      </text>
    </comment>
    <comment authorId="14" xr:uid="{953a3b49-0b0b-4986-827f-d747af9ca1d8}" ref="E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Ming
</t>
      </text>
    </comment>
    <comment authorId="15" xr:uid="{9ed82fce-cf5d-4c33-a0f3-1bd496a30393}" ref="E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Scotty GPS
</t>
      </text>
    </comment>
    <comment authorId="16" xr:uid="{ac64c4f9-d359-4db1-967b-12c6ef807cd6}" ref="E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Grant GPS
</t>
      </text>
    </comment>
    <comment authorId="17" xr:uid="{ad13a872-07dc-48a7-acd0-88fe7b320cc5}" ref="E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Adam
</t>
      </text>
    </comment>
    <comment authorId="18" xr:uid="{b1d6e3dc-dd21-4aa4-9c44-e956c3335c5b}" ref="E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19" xr:uid="{b38cb40a-88b7-483e-89f1-b603ffc356e8}" ref="E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20" xr:uid="{b452d59d-fe9e-4e99-9a15-a8b2445943e2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21" xr:uid="{cf687949-2149-43ed-bdb2-f6b9f814996d}" ref="E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
</t>
      </text>
    </comment>
    <comment authorId="22" xr:uid="{d4d6f281-082e-4ed7-985a-b7ede0be3e35}" ref="E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
</t>
      </text>
    </comment>
    <comment authorId="23" xr:uid="{e6a74b9a-a380-4469-9873-b7d28b85327e}" ref="E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Scotty GPS
</t>
      </text>
    </comment>
    <comment authorId="24" xr:uid="{f58791be-65ab-4af2-ae40-c4f952e20d0f}" ref="E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
</t>
      </text>
    </comment>
  </commentList>
</comments>
</file>

<file path=xl/sharedStrings.xml><?xml version="1.0" encoding="utf-8"?>
<sst xmlns="http://schemas.openxmlformats.org/spreadsheetml/2006/main" count="3443" uniqueCount="116">
  <si>
    <t>Runner</t>
  </si>
  <si>
    <t>cumulative runs</t>
  </si>
  <si>
    <t>Notes:</t>
  </si>
  <si>
    <t>- MSBB run is 4-weekly from Oct to May (during beach season)</t>
  </si>
  <si>
    <t>- MSBB run is 2-weekly from Jun to Sep (while beach is eroded)</t>
  </si>
  <si>
    <t>- Neighbourhood Loop (fortnightly) runs from Jun to Sep (while beach is eroded)</t>
  </si>
  <si>
    <t>cumulative</t>
  </si>
  <si>
    <t>Pub hol</t>
  </si>
  <si>
    <t>Special event</t>
  </si>
  <si>
    <t>Attendance not recorded</t>
  </si>
  <si>
    <t>2025</t>
  </si>
  <si>
    <t>2026</t>
  </si>
  <si>
    <t>Date</t>
  </si>
  <si>
    <t>Meet</t>
  </si>
  <si>
    <t>Run</t>
  </si>
  <si>
    <t>Approx kms</t>
  </si>
  <si>
    <t>Actual kms</t>
  </si>
  <si>
    <t>Aaron</t>
  </si>
  <si>
    <t>Adam</t>
  </si>
  <si>
    <t>Alex 👑</t>
  </si>
  <si>
    <t>Alex B</t>
  </si>
  <si>
    <t>Alex Kr</t>
  </si>
  <si>
    <t>Anna</t>
  </si>
  <si>
    <t>Cam</t>
  </si>
  <si>
    <t>Celeste</t>
  </si>
  <si>
    <t>Chartt</t>
  </si>
  <si>
    <t>Claire</t>
  </si>
  <si>
    <t>Col</t>
  </si>
  <si>
    <t>Dan</t>
  </si>
  <si>
    <t>Dan B</t>
  </si>
  <si>
    <t>Darren</t>
  </si>
  <si>
    <t>Deano</t>
  </si>
  <si>
    <t>Fraser</t>
  </si>
  <si>
    <t>Grant</t>
  </si>
  <si>
    <t>Jack</t>
  </si>
  <si>
    <t>Joe</t>
  </si>
  <si>
    <t>Kate B</t>
  </si>
  <si>
    <t>Laura E</t>
  </si>
  <si>
    <t>Laura K</t>
  </si>
  <si>
    <t>Liam</t>
  </si>
  <si>
    <t>Ming</t>
  </si>
  <si>
    <t>Rhys</t>
  </si>
  <si>
    <t>Rohan</t>
  </si>
  <si>
    <t>Sam</t>
  </si>
  <si>
    <t>Scott</t>
  </si>
  <si>
    <t>Shane</t>
  </si>
  <si>
    <t>Tarquin</t>
  </si>
  <si>
    <t>Tim</t>
  </si>
  <si>
    <t>Toby</t>
  </si>
  <si>
    <t>Wes</t>
  </si>
  <si>
    <t>+1's</t>
  </si>
  <si>
    <t>Il Lido</t>
  </si>
  <si>
    <t>Soft Sand</t>
  </si>
  <si>
    <t>x</t>
  </si>
  <si>
    <t>Drift</t>
  </si>
  <si>
    <t>**Cruise</t>
  </si>
  <si>
    <t>Filament</t>
  </si>
  <si>
    <t>Social</t>
  </si>
  <si>
    <t>Cruise</t>
  </si>
  <si>
    <t>Intervals</t>
  </si>
  <si>
    <t>MSBB</t>
  </si>
  <si>
    <t>River Loop</t>
  </si>
  <si>
    <t>Lakes Loop</t>
  </si>
  <si>
    <t>Half - Invasion Day</t>
  </si>
  <si>
    <t>10k - Invasion Day</t>
  </si>
  <si>
    <t>C-Breeze</t>
  </si>
  <si>
    <t>Good Fri Pancake</t>
  </si>
  <si>
    <t>Mara - Anzac Day</t>
  </si>
  <si>
    <t>Half - Anzac Day</t>
  </si>
  <si>
    <t>no run</t>
  </si>
  <si>
    <t>N/hood Loop</t>
  </si>
  <si>
    <t>FILAMENT CUP 🏆</t>
  </si>
  <si>
    <t>Reverie</t>
  </si>
  <si>
    <t>Someday</t>
  </si>
  <si>
    <t>Hills</t>
  </si>
  <si>
    <t>Half - Beer Run</t>
  </si>
  <si>
    <t>Alex 👑's</t>
  </si>
  <si>
    <t>Mara - Xmas</t>
  </si>
  <si>
    <t>Half - Xmas</t>
  </si>
  <si>
    <t>10k - Xmas</t>
  </si>
  <si>
    <t>THINGS TO ADD:</t>
  </si>
  <si>
    <t>Top 5</t>
  </si>
  <si>
    <t>FCTC Cup</t>
  </si>
  <si>
    <t>Unofficial events: eg. Rohan 28th bday</t>
  </si>
  <si>
    <t>NAMES TO ADD????</t>
  </si>
  <si>
    <t>Jack Crago, Kate, Carson?</t>
  </si>
  <si>
    <t>REPRINT SHEET NEXT QUARTERLY SHEET ASAP</t>
  </si>
  <si>
    <t>COUNTUNIQUE</t>
  </si>
  <si>
    <t/>
  </si>
  <si>
    <t>-</t>
  </si>
  <si>
    <t>Half- Invasion Day</t>
  </si>
  <si>
    <t>10k- Invasion Day</t>
  </si>
  <si>
    <t>🛕</t>
  </si>
  <si>
    <t>sad face</t>
  </si>
  <si>
    <t>Mara- Anzac Day</t>
  </si>
  <si>
    <t>Half- Anzac Day</t>
  </si>
  <si>
    <t>Half- Beer Run</t>
  </si>
  <si>
    <t>Mara- Xmas</t>
  </si>
  <si>
    <t>Half- Xmas</t>
  </si>
  <si>
    <t>10k- Xmas</t>
  </si>
  <si>
    <t>Name</t>
  </si>
  <si>
    <t>Been in last 2 months?</t>
  </si>
  <si>
    <t>Alex</t>
  </si>
  <si>
    <t>Angus</t>
  </si>
  <si>
    <t>Caleb</t>
  </si>
  <si>
    <t>Dev</t>
  </si>
  <si>
    <t>Gen</t>
  </si>
  <si>
    <t>Harry</t>
  </si>
  <si>
    <t>Jack Crago</t>
  </si>
  <si>
    <t>Laura</t>
  </si>
  <si>
    <t>Rance</t>
  </si>
  <si>
    <t>Rhys (RJ)</t>
  </si>
  <si>
    <t>Sam C</t>
  </si>
  <si>
    <t>Tom</t>
  </si>
  <si>
    <t>Alex K</t>
  </si>
  <si>
    <t>Kate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</si>
</sst>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&quot;, &quot;d&quot;-&quot;mmm"/>
    <numFmt numFmtId="165" formatCode="0.0"/>
    <numFmt numFmtId="166" formatCode="ddd, d-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1" numFmtId="0" xfId="0" applyAlignment="1" applyFont="1">
      <alignment readingOrder="0"/>
    </xf>
    <xf borderId="0" fillId="2" fontId="2" numFmtId="1" xfId="0" applyFont="1" applyNumberFormat="1"/>
    <xf borderId="0" fillId="2" fontId="3" numFmtId="0" xfId="0" applyAlignment="1" applyFont="1">
      <alignment readingOrder="0"/>
    </xf>
    <xf borderId="0" fillId="2" fontId="2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3" fontId="2" numFmtId="1" xfId="0" applyAlignment="1" applyFill="1" applyFont="1" applyNumberForma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quotePrefix="1" borderId="0" fillId="2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2" numFmtId="1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3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5" numFmtId="1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2" numFmtId="2" xfId="0" applyAlignment="1" applyFont="1" applyNumberFormat="1">
      <alignment readingOrder="0"/>
    </xf>
    <xf borderId="0" fillId="2" fontId="2" numFmtId="164" xfId="0" applyFont="1" applyNumberForma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4" fontId="2" numFmtId="164" xfId="0" applyAlignment="1" applyFont="1" applyNumberFormat="1">
      <alignment readingOrder="0"/>
    </xf>
    <xf borderId="0" fillId="3" fontId="2" numFmtId="164" xfId="0" applyFont="1" applyNumberFormat="1"/>
    <xf borderId="0" fillId="2" fontId="2" numFmtId="165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2" fontId="2" numFmtId="166" xfId="0" applyFont="1" applyNumberFormat="1"/>
    <xf borderId="0" fillId="6" fontId="2" numFmtId="166" xfId="0" applyFill="1" applyFont="1" applyNumberFormat="1"/>
    <xf borderId="0" fillId="4" fontId="2" numFmtId="164" xfId="0" applyFont="1" applyNumberFormat="1"/>
    <xf borderId="0" fillId="4" fontId="2" numFmtId="166" xfId="0" applyAlignment="1" applyFont="1" applyNumberFormat="1">
      <alignment readingOrder="0"/>
    </xf>
    <xf borderId="0" fillId="4" fontId="2" numFmtId="166" xfId="0" applyFont="1" applyNumberFormat="1"/>
    <xf borderId="0" fillId="0" fontId="2" numFmtId="165" xfId="0" applyFont="1" applyNumberFormat="1"/>
    <xf borderId="0" fillId="0" fontId="2" numFmtId="2" xfId="0" applyFont="1" applyNumberFormat="1"/>
    <xf borderId="0" fillId="3" fontId="2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quotePrefix="1" borderId="0" fillId="0" fontId="2" numFmtId="0" xfId="0" applyAlignment="1" applyFont="1">
      <alignment readingOrder="0"/>
    </xf>
    <xf borderId="0" fillId="8" fontId="2" numFmtId="0" xfId="0" applyFill="1" applyFont="1"/>
    <xf borderId="0" fillId="8" fontId="2" numFmtId="0" xfId="0" applyAlignment="1" applyFont="1">
      <alignment readingOrder="0"/>
    </xf>
    <xf borderId="0" fillId="3" fontId="2" numFmtId="2" xfId="0" applyAlignment="1" applyFont="1" applyNumberFormat="1">
      <alignment readingOrder="0"/>
    </xf>
    <xf borderId="0" fillId="9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rant Smith" id="{353155e3-f7f6-4641-9c3d-0c77c55ade49}" providerId="google-sheets"/>
  <x18tc:person displayName="Aaron Ellwood" id="{ab85e527-daa5-4602-b0c0-a7df2dd6d16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6" dT="2026-02-06T06:25:58.00" personId="{ab85e527-daa5-4602-b0c0-a7df2dd6d161}" id="{a1425668-7d75-47c8-9a69-9a7b8a410dc4}" done="0">
    <x18tc:text xml:space="preserve">Grant GPS</x18tc:text>
  </x18tc:threadedComment>
  <x18tc:threadedComment ref="A89" dT="2026-01-03T06:46:17.00" personId="{ab85e527-daa5-4602-b0c0-a7df2dd6d161}" id="{7dc54684-cea8-4fc8-a33e-bba46a0ba2de}" done="0">
    <x18tc:text xml:space="preserve">Solstice is technically 21st June</x18tc:text>
  </x18tc:threadedComment>
  <x18tc:threadedComment ref="E12" dT="2026-01-03T07:09:43.00" personId="{ab85e527-daa5-4602-b0c0-a7df2dd6d161}" id="{be707f4c-f5f4-4045-90f5-f434162d699d}" done="0">
    <x18tc:text xml:space="preserve">Scott GPS</x18tc:text>
  </x18tc:threadedComment>
  <x18tc:threadedComment ref="E71" dT="2026-05-24T07:45:38.00" personId="{ab85e527-daa5-4602-b0c0-a7df2dd6d161}" id="{4aab93f1-2fb0-4a63-80f2-855dd07edd03}" done="0">
    <x18tc:text xml:space="preserve">estimate, AE no watch</x18tc:text>
  </x18tc:threadedComment>
  <x18tc:threadedComment ref="E75" dT="2026-05-24T07:49:18.00" personId="{ab85e527-daa5-4602-b0c0-a7df2dd6d161}" id="{76bc4411-f822-428b-8a32-e2102d188aef}" done="0">
    <x18tc:text xml:space="preserve">estimate, AE no watch</x18tc:text>
  </x18tc:threadedComment>
  <x18tc:threadedComment ref="E70" dT="2026-05-24T07:45:45.00" personId="{ab85e527-daa5-4602-b0c0-a7df2dd6d161}" id="{8018957f-2859-4b78-8e4c-daa207edb941}" done="0">
    <x18tc:text xml:space="preserve">estimate, AE no watch</x18tc:text>
  </x18tc:threadedComment>
  <x18tc:threadedComment ref="E74" dT="2026-05-24T07:45:30.00" personId="{ab85e527-daa5-4602-b0c0-a7df2dd6d161}" id="{aabc6f95-d402-4d5b-bb44-a82fd02843d3}" done="0">
    <x18tc:text xml:space="preserve">estimate, AE no watch</x18tc:text>
  </x18tc:threadedComment>
  <x18tc:threadedComment ref="E73" dT="2026-05-24T07:45:53.00" personId="{ab85e527-daa5-4602-b0c0-a7df2dd6d161}" id="{14e017de-83a5-4504-abcb-31ce43e9a46c}" done="0">
    <x18tc:text xml:space="preserve">estimate, AE no watch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4" dT="2025-10-17T12:27:21.00" personId="{353155e3-f7f6-4641-9c3d-0c77c55ade49}" id="{6ea5ba47-9b2f-45ec-92f2-cb968d269f97}" done="1">
    <x18tc:text xml:space="preserve">Grant</x18tc:text>
  </x18tc:threadedComment>
  <x18tc:threadedComment ref="E90" dT="2025-10-17T12:27:43.00" personId="{353155e3-f7f6-4641-9c3d-0c77c55ade49}" id="{3f957bda-24f9-47fb-9754-382edda95348}" done="1">
    <x18tc:text xml:space="preserve">Grant</x18tc:text>
  </x18tc:threadedComment>
  <x18tc:threadedComment ref="E93" dT="2025-10-17T12:26:24.00" personId="{353155e3-f7f6-4641-9c3d-0c77c55ade49}" id="{d4d6f281-082e-4ed7-985a-b7ede0be3e35}" done="1">
    <x18tc:text xml:space="preserve">Col</x18tc:text>
  </x18tc:threadedComment>
  <x18tc:threadedComment ref="E69" dT="2025-10-17T12:14:18.00" personId="{353155e3-f7f6-4641-9c3d-0c77c55ade49}" id="{10c2946a-91dd-44e0-ba14-0b7dbfd0ee26}" done="0">
    <x18tc:text xml:space="preserve">Scott</x18tc:text>
  </x18tc:threadedComment>
  <x18tc:threadedComment ref="E91" dT="2025-10-17T12:25:50.00" personId="{353155e3-f7f6-4641-9c3d-0c77c55ade49}" id="{18837e07-2ef6-417f-9a8e-941ce04b2465}" done="0">
    <x18tc:text xml:space="preserve">Col</x18tc:text>
  </x18tc:threadedComment>
  <x18tc:threadedComment ref="E72" dT="2025-10-17T12:15:59.00" personId="{353155e3-f7f6-4641-9c3d-0c77c55ade49}" id="{1501bfb5-259e-4190-8e7b-a26f0cafb123}" done="0">
    <x18tc:text xml:space="preserve">Scott</x18tc:text>
  </x18tc:threadedComment>
  <x18tc:threadedComment ref="E88" dT="2025-10-17T12:24:58.00" personId="{353155e3-f7f6-4641-9c3d-0c77c55ade49}" id="{030a621b-acf1-45c5-b7b6-12daafe3e1ea}" done="0">
    <x18tc:text xml:space="preserve">Col</x18tc:text>
  </x18tc:threadedComment>
  <x18tc:threadedComment ref="E76" dT="2025-10-17T12:15:45.00" personId="{353155e3-f7f6-4641-9c3d-0c77c55ade49}" id="{193b9fe0-b692-4c3c-aa21-0823c3492ea9}" done="0">
    <x18tc:text xml:space="preserve">Scott</x18tc:text>
  </x18tc:threadedComment>
  <x18tc:threadedComment ref="E68" dT="2025-10-17T12:14:04.00" personId="{353155e3-f7f6-4641-9c3d-0c77c55ade49}" id="{953a3b49-0b0b-4986-827f-d747af9ca1d8}" done="0">
    <x18tc:text xml:space="preserve">Ming</x18tc:text>
  </x18tc:threadedComment>
  <x18tc:threadedComment ref="E89" dT="2025-10-17T12:25:16.00" personId="{353155e3-f7f6-4641-9c3d-0c77c55ade49}" id="{8dedbdbe-e58f-4802-9cdf-e1354da834ab}" done="0">
    <x18tc:text xml:space="preserve">Col</x18tc:text>
  </x18tc:threadedComment>
  <x18tc:threadedComment ref="E74" dT="2025-10-17T12:15:51.00" personId="{353155e3-f7f6-4641-9c3d-0c77c55ade49}" id="{b452d59d-fe9e-4e99-9a15-a8b2445943e2}" done="0">
    <x18tc:text xml:space="preserve">Scott</x18tc:text>
  </x18tc:threadedComment>
  <x18tc:threadedComment ref="E73" dT="2025-10-17T12:18:19.00" personId="{353155e3-f7f6-4641-9c3d-0c77c55ade49}" id="{ad13a872-07dc-48a7-acd0-88fe7b320cc5}" done="0">
    <x18tc:text xml:space="preserve">Adam</x18tc:text>
  </x18tc:threadedComment>
  <x18tc:threadedComment ref="F100" dT="2025-11-19T06:20:28.00" personId="{ab85e527-daa5-4602-b0c0-a7df2dd6d161}" id="{27ea7d93-753d-4a9a-b7ea-65ced5199eb2}" done="0">
    <x18tc:text xml:space="preserve">late pull out with injury</x18tc:text>
  </x18tc:threadedComment>
  <x18tc:threadedComment ref="E75" dT="2025-10-17T12:21:04.00" personId="{353155e3-f7f6-4641-9c3d-0c77c55ade49}" id="{6f5bca83-c535-4626-955d-47607cde88ff}" done="0">
    <x18tc:text xml:space="preserve">Toby</x18tc:text>
  </x18tc:threadedComment>
  <x18tc:threadedComment ref="E115" dT="2026-01-03T07:12:25.00" personId="{ab85e527-daa5-4602-b0c0-a7df2dd6d161}" id="{ac64c4f9-d359-4db1-967b-12c6ef807cd6}" done="0">
    <x18tc:text xml:space="preserve">Grant GPS</x18tc:text>
  </x18tc:threadedComment>
  <x18tc:threadedComment ref="E71" dT="2025-10-17T12:16:10.00" personId="{353155e3-f7f6-4641-9c3d-0c77c55ade49}" id="{65a619fe-79f3-4a0b-9e9e-2b6ed2119f01}" done="0">
    <x18tc:text xml:space="preserve">Scott</x18tc:text>
  </x18tc:threadedComment>
  <x18tc:threadedComment ref="E103" dT="2025-12-13T06:00:47.00" personId="{ab85e527-daa5-4602-b0c0-a7df2dd6d161}" id="{e6a74b9a-a380-4469-9873-b7d28b85327e}" done="0">
    <x18tc:text xml:space="preserve">Scotty GPS</x18tc:text>
  </x18tc:threadedComment>
  <x18tc:threadedComment ref="E96" dT="2025-10-17T12:31:49.00" personId="{353155e3-f7f6-4641-9c3d-0c77c55ade49}" id="{f58791be-65ab-4af2-ae40-c4f952e20d0f}" done="1">
    <x18tc:text xml:space="preserve">Dan</x18tc:text>
  </x18tc:threadedComment>
  <x18tc:threadedComment ref="E70" dT="2025-10-17T12:16:15.00" personId="{353155e3-f7f6-4641-9c3d-0c77c55ade49}" id="{cf687949-2149-43ed-bdb2-f6b9f814996d}" done="0">
    <x18tc:text xml:space="preserve">Scott</x18tc:text>
  </x18tc:threadedComment>
  <x18tc:threadedComment ref="E107" dT="2025-12-13T06:00:42.00" personId="{ab85e527-daa5-4602-b0c0-a7df2dd6d161}" id="{907414a6-8e18-4807-8f5a-2d31385d8136}" done="0">
    <x18tc:text xml:space="preserve">Scotty GPS</x18tc:text>
  </x18tc:threadedComment>
  <x18tc:threadedComment ref="E97" dT="2025-10-17T12:30:36.00" personId="{353155e3-f7f6-4641-9c3d-0c77c55ade49}" id="{b38cb40a-88b7-483e-89f1-b603ffc356e8}" done="1">
    <x18tc:text xml:space="preserve">Scott</x18tc:text>
  </x18tc:threadedComment>
  <x18tc:threadedComment ref="E95" dT="2025-10-17T12:30:56.00" personId="{353155e3-f7f6-4641-9c3d-0c77c55ade49}" id="{b1d6e3dc-dd21-4aa4-9c44-e956c3335c5b}" done="1">
    <x18tc:text xml:space="preserve">Scott</x18tc:text>
  </x18tc:threadedComment>
  <x18tc:threadedComment ref="E100" dT="2025-12-13T06:00:29.00" personId="{ab85e527-daa5-4602-b0c0-a7df2dd6d161}" id="{9ed82fce-cf5d-4c33-a0f3-1bd496a30393}" done="0">
    <x18tc:text xml:space="preserve">Scotty GPS</x18tc:text>
  </x18tc:threadedComment>
  <x18tc:threadedComment ref="E92" dT="2025-10-17T12:29:54.00" personId="{353155e3-f7f6-4641-9c3d-0c77c55ade49}" id="{868ef341-d463-42c1-b758-c9d706f4c6b2}" done="0">
    <x18tc:text xml:space="preserve">Anna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tr">
        <f>IFERROR(__xludf.DUMMYFUNCTION("query(transpose(RANK),""Select Col5, Col2 order by Col2 desc"",0)"),"Scott")</f>
        <v>Scott</v>
      </c>
      <c r="B2" s="3">
        <f>IFERROR(__xludf.DUMMYFUNCTION("""COMPUTED_VALUE"""),150.0)</f>
        <v>150</v>
      </c>
    </row>
    <row r="3">
      <c r="A3" s="3" t="str">
        <f>IFERROR(__xludf.DUMMYFUNCTION("""COMPUTED_VALUE"""),"Aaron")</f>
        <v>Aaron</v>
      </c>
      <c r="B3" s="3">
        <f>IFERROR(__xludf.DUMMYFUNCTION("""COMPUTED_VALUE"""),137.0)</f>
        <v>137</v>
      </c>
    </row>
    <row r="4">
      <c r="A4" s="3" t="str">
        <f>IFERROR(__xludf.DUMMYFUNCTION("""COMPUTED_VALUE"""),"Cam")</f>
        <v>Cam</v>
      </c>
      <c r="B4" s="3">
        <f>IFERROR(__xludf.DUMMYFUNCTION("""COMPUTED_VALUE"""),129.0)</f>
        <v>129</v>
      </c>
    </row>
    <row r="5">
      <c r="A5" s="3" t="str">
        <f>IFERROR(__xludf.DUMMYFUNCTION("""COMPUTED_VALUE"""),"Alex 👑")</f>
        <v>Alex 👑</v>
      </c>
      <c r="B5" s="3">
        <f>IFERROR(__xludf.DUMMYFUNCTION("""COMPUTED_VALUE"""),122.0)</f>
        <v>122</v>
      </c>
    </row>
    <row r="6">
      <c r="A6" s="3" t="str">
        <f>IFERROR(__xludf.DUMMYFUNCTION("""COMPUTED_VALUE"""),"Col")</f>
        <v>Col</v>
      </c>
      <c r="B6" s="3">
        <f>IFERROR(__xludf.DUMMYFUNCTION("""COMPUTED_VALUE"""),115.0)</f>
        <v>115</v>
      </c>
    </row>
    <row r="7">
      <c r="A7" s="3" t="str">
        <f>IFERROR(__xludf.DUMMYFUNCTION("""COMPUTED_VALUE"""),"Adam")</f>
        <v>Adam</v>
      </c>
      <c r="B7" s="3">
        <f>IFERROR(__xludf.DUMMYFUNCTION("""COMPUTED_VALUE"""),114.0)</f>
        <v>114</v>
      </c>
    </row>
    <row r="8">
      <c r="A8" s="3" t="str">
        <f>IFERROR(__xludf.DUMMYFUNCTION("""COMPUTED_VALUE"""),"Grant")</f>
        <v>Grant</v>
      </c>
      <c r="B8" s="3">
        <f>IFERROR(__xludf.DUMMYFUNCTION("""COMPUTED_VALUE"""),94.0)</f>
        <v>94</v>
      </c>
    </row>
    <row r="9">
      <c r="A9" s="3" t="str">
        <f>IFERROR(__xludf.DUMMYFUNCTION("""COMPUTED_VALUE"""),"Toby")</f>
        <v>Toby</v>
      </c>
      <c r="B9" s="3">
        <f>IFERROR(__xludf.DUMMYFUNCTION("""COMPUTED_VALUE"""),73.0)</f>
        <v>73</v>
      </c>
    </row>
    <row r="10">
      <c r="A10" s="3" t="str">
        <f>IFERROR(__xludf.DUMMYFUNCTION("""COMPUTED_VALUE"""),"Kate B")</f>
        <v>Kate B</v>
      </c>
      <c r="B10" s="3">
        <f>IFERROR(__xludf.DUMMYFUNCTION("""COMPUTED_VALUE"""),67.0)</f>
        <v>67</v>
      </c>
    </row>
    <row r="11">
      <c r="A11" s="3" t="str">
        <f>IFERROR(__xludf.DUMMYFUNCTION("""COMPUTED_VALUE"""),"Joe")</f>
        <v>Joe</v>
      </c>
      <c r="B11" s="3">
        <f>IFERROR(__xludf.DUMMYFUNCTION("""COMPUTED_VALUE"""),62.0)</f>
        <v>62</v>
      </c>
    </row>
    <row r="12">
      <c r="A12" s="3" t="str">
        <f>IFERROR(__xludf.DUMMYFUNCTION("""COMPUTED_VALUE"""),"Shane")</f>
        <v>Shane</v>
      </c>
      <c r="B12" s="3">
        <f>IFERROR(__xludf.DUMMYFUNCTION("""COMPUTED_VALUE"""),60.0)</f>
        <v>60</v>
      </c>
    </row>
    <row r="13">
      <c r="A13" s="3" t="str">
        <f>IFERROR(__xludf.DUMMYFUNCTION("""COMPUTED_VALUE"""),"Darren")</f>
        <v>Darren</v>
      </c>
      <c r="B13" s="3">
        <f>IFERROR(__xludf.DUMMYFUNCTION("""COMPUTED_VALUE"""),51.0)</f>
        <v>51</v>
      </c>
    </row>
    <row r="14">
      <c r="A14" s="3" t="str">
        <f>IFERROR(__xludf.DUMMYFUNCTION("""COMPUTED_VALUE"""),"Ming")</f>
        <v>Ming</v>
      </c>
      <c r="B14" s="3">
        <f>IFERROR(__xludf.DUMMYFUNCTION("""COMPUTED_VALUE"""),46.0)</f>
        <v>46</v>
      </c>
    </row>
    <row r="15">
      <c r="A15" s="3" t="str">
        <f>IFERROR(__xludf.DUMMYFUNCTION("""COMPUTED_VALUE"""),"Claire")</f>
        <v>Claire</v>
      </c>
      <c r="B15" s="3">
        <f>IFERROR(__xludf.DUMMYFUNCTION("""COMPUTED_VALUE"""),45.0)</f>
        <v>45</v>
      </c>
    </row>
    <row r="16">
      <c r="A16" s="3" t="str">
        <f>IFERROR(__xludf.DUMMYFUNCTION("""COMPUTED_VALUE"""),"Anna")</f>
        <v>Anna</v>
      </c>
      <c r="B16" s="3">
        <f>IFERROR(__xludf.DUMMYFUNCTION("""COMPUTED_VALUE"""),44.0)</f>
        <v>44</v>
      </c>
    </row>
    <row r="17">
      <c r="A17" s="3" t="str">
        <f>IFERROR(__xludf.DUMMYFUNCTION("""COMPUTED_VALUE"""),"+1's")</f>
        <v>+1's</v>
      </c>
      <c r="B17" s="3">
        <f>IFERROR(__xludf.DUMMYFUNCTION("""COMPUTED_VALUE"""),43.0)</f>
        <v>43</v>
      </c>
    </row>
    <row r="18">
      <c r="A18" s="3" t="str">
        <f>IFERROR(__xludf.DUMMYFUNCTION("""COMPUTED_VALUE"""),"Wes")</f>
        <v>Wes</v>
      </c>
      <c r="B18" s="3">
        <f>IFERROR(__xludf.DUMMYFUNCTION("""COMPUTED_VALUE"""),42.0)</f>
        <v>42</v>
      </c>
    </row>
    <row r="19">
      <c r="A19" s="3" t="str">
        <f>IFERROR(__xludf.DUMMYFUNCTION("""COMPUTED_VALUE"""),"Celeste")</f>
        <v>Celeste</v>
      </c>
      <c r="B19" s="3">
        <f>IFERROR(__xludf.DUMMYFUNCTION("""COMPUTED_VALUE"""),40.0)</f>
        <v>40</v>
      </c>
    </row>
    <row r="20">
      <c r="A20" s="3" t="str">
        <f>IFERROR(__xludf.DUMMYFUNCTION("""COMPUTED_VALUE"""),"Rhys")</f>
        <v>Rhys</v>
      </c>
      <c r="B20" s="3">
        <f>IFERROR(__xludf.DUMMYFUNCTION("""COMPUTED_VALUE"""),35.0)</f>
        <v>35</v>
      </c>
    </row>
    <row r="21">
      <c r="A21" s="3" t="str">
        <f>IFERROR(__xludf.DUMMYFUNCTION("""COMPUTED_VALUE"""),"Alex B")</f>
        <v>Alex B</v>
      </c>
      <c r="B21" s="3">
        <f>IFERROR(__xludf.DUMMYFUNCTION("""COMPUTED_VALUE"""),27.0)</f>
        <v>27</v>
      </c>
    </row>
    <row r="22">
      <c r="A22" s="3" t="str">
        <f>IFERROR(__xludf.DUMMYFUNCTION("""COMPUTED_VALUE"""),"Liam")</f>
        <v>Liam</v>
      </c>
      <c r="B22" s="3">
        <f>IFERROR(__xludf.DUMMYFUNCTION("""COMPUTED_VALUE"""),26.0)</f>
        <v>26</v>
      </c>
    </row>
    <row r="23">
      <c r="A23" s="3" t="str">
        <f>IFERROR(__xludf.DUMMYFUNCTION("""COMPUTED_VALUE"""),"Dan")</f>
        <v>Dan</v>
      </c>
      <c r="B23" s="3">
        <f>IFERROR(__xludf.DUMMYFUNCTION("""COMPUTED_VALUE"""),22.0)</f>
        <v>22</v>
      </c>
    </row>
    <row r="24">
      <c r="A24" s="3" t="str">
        <f>IFERROR(__xludf.DUMMYFUNCTION("""COMPUTED_VALUE"""),"Chartt")</f>
        <v>Chartt</v>
      </c>
      <c r="B24" s="3">
        <f>IFERROR(__xludf.DUMMYFUNCTION("""COMPUTED_VALUE"""),20.0)</f>
        <v>20</v>
      </c>
    </row>
    <row r="25">
      <c r="A25" s="3" t="str">
        <f>IFERROR(__xludf.DUMMYFUNCTION("""COMPUTED_VALUE"""),"Laura E")</f>
        <v>Laura E</v>
      </c>
      <c r="B25" s="3">
        <f>IFERROR(__xludf.DUMMYFUNCTION("""COMPUTED_VALUE"""),20.0)</f>
        <v>20</v>
      </c>
    </row>
    <row r="26">
      <c r="A26" s="3" t="str">
        <f>IFERROR(__xludf.DUMMYFUNCTION("""COMPUTED_VALUE"""),"Fraser")</f>
        <v>Fraser</v>
      </c>
      <c r="B26" s="3">
        <f>IFERROR(__xludf.DUMMYFUNCTION("""COMPUTED_VALUE"""),19.0)</f>
        <v>19</v>
      </c>
    </row>
    <row r="27">
      <c r="A27" s="3" t="str">
        <f>IFERROR(__xludf.DUMMYFUNCTION("""COMPUTED_VALUE"""),"Dan B")</f>
        <v>Dan B</v>
      </c>
      <c r="B27" s="3">
        <f>IFERROR(__xludf.DUMMYFUNCTION("""COMPUTED_VALUE"""),18.0)</f>
        <v>18</v>
      </c>
    </row>
    <row r="28">
      <c r="A28" s="3" t="str">
        <f>IFERROR(__xludf.DUMMYFUNCTION("""COMPUTED_VALUE"""),"Alex Kr")</f>
        <v>Alex Kr</v>
      </c>
      <c r="B28" s="3">
        <f>IFERROR(__xludf.DUMMYFUNCTION("""COMPUTED_VALUE"""),13.0)</f>
        <v>13</v>
      </c>
    </row>
    <row r="29">
      <c r="A29" s="3" t="str">
        <f>IFERROR(__xludf.DUMMYFUNCTION("""COMPUTED_VALUE"""),"Jack")</f>
        <v>Jack</v>
      </c>
      <c r="B29" s="3">
        <f>IFERROR(__xludf.DUMMYFUNCTION("""COMPUTED_VALUE"""),11.0)</f>
        <v>11</v>
      </c>
    </row>
    <row r="30">
      <c r="A30" s="3" t="str">
        <f>IFERROR(__xludf.DUMMYFUNCTION("""COMPUTED_VALUE"""),"Rohan")</f>
        <v>Rohan</v>
      </c>
      <c r="B30" s="3">
        <f>IFERROR(__xludf.DUMMYFUNCTION("""COMPUTED_VALUE"""),10.0)</f>
        <v>10</v>
      </c>
    </row>
    <row r="31">
      <c r="A31" s="3" t="str">
        <f>IFERROR(__xludf.DUMMYFUNCTION("""COMPUTED_VALUE"""),"Deano")</f>
        <v>Deano</v>
      </c>
      <c r="B31" s="3">
        <f>IFERROR(__xludf.DUMMYFUNCTION("""COMPUTED_VALUE"""),7.0)</f>
        <v>7</v>
      </c>
    </row>
    <row r="32">
      <c r="A32" s="3" t="str">
        <f>IFERROR(__xludf.DUMMYFUNCTION("""COMPUTED_VALUE"""),"Tarquin")</f>
        <v>Tarquin</v>
      </c>
      <c r="B32" s="3">
        <f>IFERROR(__xludf.DUMMYFUNCTION("""COMPUTED_VALUE"""),7.0)</f>
        <v>7</v>
      </c>
    </row>
    <row r="33">
      <c r="A33" s="3" t="str">
        <f>IFERROR(__xludf.DUMMYFUNCTION("""COMPUTED_VALUE"""),"Laura K")</f>
        <v>Laura K</v>
      </c>
      <c r="B33" s="3">
        <f>IFERROR(__xludf.DUMMYFUNCTION("""COMPUTED_VALUE"""),4.0)</f>
        <v>4</v>
      </c>
    </row>
    <row r="34">
      <c r="A34" s="3" t="str">
        <f>IFERROR(__xludf.DUMMYFUNCTION("""COMPUTED_VALUE"""),"Sam")</f>
        <v>Sam</v>
      </c>
      <c r="B34" s="3">
        <f>IFERROR(__xludf.DUMMYFUNCTION("""COMPUTED_VALUE"""),3.0)</f>
        <v>3</v>
      </c>
    </row>
    <row r="35">
      <c r="A35" s="3" t="str">
        <f>IFERROR(__xludf.DUMMYFUNCTION("""COMPUTED_VALUE"""),"Tim")</f>
        <v>Tim</v>
      </c>
      <c r="B35" s="3">
        <f>IFERROR(__xludf.DUMMYFUNCTION("""COMPUTED_VALUE"""),3.0)</f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2.63" defaultRowHeight="15.75"/>
  <cols>
    <col customWidth="1" min="1" max="1" width="11.88"/>
    <col customWidth="1" min="2" max="2" width="11.0"/>
    <col customWidth="1" min="3" max="3" width="16.13"/>
    <col customWidth="1" min="4" max="4" width="9.75"/>
    <col customWidth="1" min="6" max="9" width="5.63"/>
    <col customWidth="1" hidden="1" min="10" max="10" width="5.63"/>
    <col customWidth="1" min="11" max="14" width="5.63"/>
    <col customWidth="1" hidden="1" min="15" max="15" width="5.63"/>
    <col customWidth="1" min="16" max="20" width="5.63"/>
    <col customWidth="1" hidden="1" min="21" max="21" width="5.63"/>
    <col customWidth="1" min="22" max="22" width="5.63"/>
    <col customWidth="1" hidden="1" min="23" max="24" width="5.63"/>
    <col customWidth="1" min="25" max="25" width="5.63"/>
    <col customWidth="1" hidden="1" min="26" max="27" width="5.63"/>
    <col customWidth="1" min="28" max="30" width="5.63"/>
    <col customWidth="1" hidden="1" min="31" max="32" width="5.63"/>
    <col customWidth="1" min="33" max="34" width="5.63"/>
    <col customWidth="1" hidden="1" min="35" max="36" width="5.63"/>
    <col customWidth="1" min="37" max="42" width="5.63"/>
  </cols>
  <sheetData>
    <row r="1">
      <c r="A1" s="4" t="s">
        <v>2</v>
      </c>
      <c r="B1" s="5"/>
      <c r="C1" s="5"/>
      <c r="D1" s="5"/>
      <c r="E1" s="5"/>
      <c r="F1" s="5"/>
      <c r="G1" s="6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6"/>
      <c r="AO1" s="8"/>
      <c r="AP1" s="6"/>
    </row>
    <row r="2">
      <c r="A2" s="4" t="s">
        <v>3</v>
      </c>
      <c r="B2" s="5"/>
      <c r="C2" s="5"/>
      <c r="D2" s="5"/>
      <c r="E2" s="5"/>
      <c r="F2" s="5"/>
      <c r="G2" s="6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8"/>
      <c r="AP2" s="6"/>
    </row>
    <row r="3">
      <c r="A3" s="4" t="s">
        <v>4</v>
      </c>
      <c r="B3" s="5"/>
      <c r="C3" s="5"/>
      <c r="D3" s="5"/>
      <c r="E3" s="5"/>
      <c r="F3" s="5"/>
      <c r="G3" s="6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8"/>
      <c r="AP3" s="6"/>
    </row>
    <row r="4">
      <c r="A4" s="4" t="s">
        <v>5</v>
      </c>
      <c r="B4" s="5"/>
      <c r="C4" s="5"/>
      <c r="D4" s="5"/>
      <c r="E4" s="5"/>
      <c r="F4" s="5"/>
      <c r="G4" s="6"/>
      <c r="H4" s="5"/>
      <c r="I4" s="5"/>
      <c r="J4" s="5"/>
      <c r="K4" s="6"/>
      <c r="L4" s="6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8"/>
      <c r="AP4" s="6"/>
    </row>
    <row r="5">
      <c r="A5" s="5"/>
      <c r="B5" s="5"/>
      <c r="C5" s="5"/>
      <c r="D5" s="5"/>
      <c r="E5" s="5"/>
      <c r="F5" s="5"/>
      <c r="G5" s="6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8"/>
      <c r="AP5" s="6"/>
    </row>
    <row r="6">
      <c r="A6" s="9"/>
      <c r="B6" s="5"/>
      <c r="C6" s="5"/>
      <c r="D6" s="5"/>
      <c r="E6" s="5"/>
      <c r="F6" s="5"/>
      <c r="G6" s="6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8"/>
      <c r="AP6" s="6"/>
    </row>
    <row r="7">
      <c r="A7" s="10"/>
      <c r="B7" s="10"/>
      <c r="C7" s="10"/>
      <c r="D7" s="10"/>
      <c r="E7" s="11">
        <f>sum(F7:AL7)</f>
        <v>5291.13</v>
      </c>
      <c r="F7" s="11">
        <f t="shared" ref="F7:AM7" si="1">sumif(F12:F174,"=x",$E$12:$E$174)</f>
        <v>504.62</v>
      </c>
      <c r="G7" s="11">
        <f t="shared" si="1"/>
        <v>322.51</v>
      </c>
      <c r="H7" s="11">
        <f t="shared" si="1"/>
        <v>423.91</v>
      </c>
      <c r="I7" s="11">
        <f t="shared" si="1"/>
        <v>218.04</v>
      </c>
      <c r="J7" s="11">
        <f t="shared" si="1"/>
        <v>8.68</v>
      </c>
      <c r="K7" s="11">
        <f t="shared" si="1"/>
        <v>135.8</v>
      </c>
      <c r="L7" s="11">
        <f t="shared" si="1"/>
        <v>312.35</v>
      </c>
      <c r="M7" s="11">
        <f t="shared" si="1"/>
        <v>133.11</v>
      </c>
      <c r="N7" s="11">
        <f t="shared" si="1"/>
        <v>67.37</v>
      </c>
      <c r="O7" s="11">
        <f t="shared" si="1"/>
        <v>46.73</v>
      </c>
      <c r="P7" s="11">
        <f t="shared" si="1"/>
        <v>367.47</v>
      </c>
      <c r="Q7" s="11">
        <f t="shared" si="1"/>
        <v>67.27</v>
      </c>
      <c r="R7" s="11">
        <f t="shared" si="1"/>
        <v>186.54</v>
      </c>
      <c r="S7" s="11">
        <f t="shared" si="1"/>
        <v>270.22</v>
      </c>
      <c r="T7" s="11">
        <f t="shared" si="1"/>
        <v>61.61</v>
      </c>
      <c r="U7" s="11">
        <f t="shared" si="1"/>
        <v>0</v>
      </c>
      <c r="V7" s="11">
        <f t="shared" si="1"/>
        <v>421</v>
      </c>
      <c r="W7" s="11">
        <f t="shared" si="1"/>
        <v>17.41</v>
      </c>
      <c r="X7" s="11">
        <f t="shared" si="1"/>
        <v>108.45</v>
      </c>
      <c r="Y7" s="11">
        <f t="shared" si="1"/>
        <v>282.07</v>
      </c>
      <c r="Z7" s="11">
        <f t="shared" si="1"/>
        <v>0</v>
      </c>
      <c r="AA7" s="11">
        <f t="shared" si="1"/>
        <v>0</v>
      </c>
      <c r="AB7" s="11">
        <f t="shared" si="1"/>
        <v>90.61</v>
      </c>
      <c r="AC7" s="11">
        <f t="shared" si="1"/>
        <v>136.66</v>
      </c>
      <c r="AD7" s="11">
        <f t="shared" si="1"/>
        <v>57.3</v>
      </c>
      <c r="AE7" s="11">
        <f t="shared" si="1"/>
        <v>15.06</v>
      </c>
      <c r="AF7" s="11">
        <f t="shared" si="1"/>
        <v>0</v>
      </c>
      <c r="AG7" s="11">
        <f t="shared" si="1"/>
        <v>448.61</v>
      </c>
      <c r="AH7" s="11">
        <f t="shared" si="1"/>
        <v>143.14</v>
      </c>
      <c r="AI7" s="11">
        <f t="shared" si="1"/>
        <v>24.93</v>
      </c>
      <c r="AJ7" s="11">
        <f t="shared" si="1"/>
        <v>0</v>
      </c>
      <c r="AK7" s="11">
        <f t="shared" si="1"/>
        <v>267.28</v>
      </c>
      <c r="AL7" s="11">
        <f t="shared" si="1"/>
        <v>152.38</v>
      </c>
      <c r="AM7" s="12">
        <f t="shared" si="1"/>
        <v>0</v>
      </c>
      <c r="AN7" s="8"/>
      <c r="AO7" s="8"/>
      <c r="AP7" s="8"/>
    </row>
    <row r="8">
      <c r="A8" s="5"/>
      <c r="B8" s="5"/>
      <c r="C8" s="5"/>
      <c r="D8" s="5"/>
      <c r="E8" s="13" t="s">
        <v>6</v>
      </c>
      <c r="F8" s="4">
        <f t="shared" ref="F8:AM8" si="2">F9+F10</f>
        <v>137</v>
      </c>
      <c r="G8" s="4">
        <f t="shared" si="2"/>
        <v>114</v>
      </c>
      <c r="H8" s="4">
        <f t="shared" si="2"/>
        <v>122</v>
      </c>
      <c r="I8" s="4">
        <f t="shared" si="2"/>
        <v>27</v>
      </c>
      <c r="J8" s="4">
        <f t="shared" si="2"/>
        <v>13</v>
      </c>
      <c r="K8" s="4">
        <f t="shared" si="2"/>
        <v>44</v>
      </c>
      <c r="L8" s="4">
        <f t="shared" si="2"/>
        <v>129</v>
      </c>
      <c r="M8" s="4">
        <f t="shared" si="2"/>
        <v>40</v>
      </c>
      <c r="N8" s="4">
        <f t="shared" si="2"/>
        <v>20</v>
      </c>
      <c r="O8" s="4">
        <f t="shared" si="2"/>
        <v>45</v>
      </c>
      <c r="P8" s="4">
        <f t="shared" si="2"/>
        <v>115</v>
      </c>
      <c r="Q8" s="4">
        <f t="shared" si="2"/>
        <v>22</v>
      </c>
      <c r="R8" s="4">
        <f t="shared" si="2"/>
        <v>18</v>
      </c>
      <c r="S8" s="4">
        <f t="shared" si="2"/>
        <v>51</v>
      </c>
      <c r="T8" s="4">
        <f t="shared" si="2"/>
        <v>7</v>
      </c>
      <c r="U8" s="4">
        <f t="shared" si="2"/>
        <v>19</v>
      </c>
      <c r="V8" s="4">
        <f t="shared" si="2"/>
        <v>94</v>
      </c>
      <c r="W8" s="4">
        <f t="shared" si="2"/>
        <v>11</v>
      </c>
      <c r="X8" s="4">
        <f t="shared" si="2"/>
        <v>62</v>
      </c>
      <c r="Y8" s="4">
        <f t="shared" si="2"/>
        <v>67</v>
      </c>
      <c r="Z8" s="4">
        <f t="shared" si="2"/>
        <v>20</v>
      </c>
      <c r="AA8" s="4">
        <f t="shared" si="2"/>
        <v>4</v>
      </c>
      <c r="AB8" s="4">
        <f t="shared" si="2"/>
        <v>26</v>
      </c>
      <c r="AC8" s="4">
        <f t="shared" si="2"/>
        <v>46</v>
      </c>
      <c r="AD8" s="4">
        <f t="shared" si="2"/>
        <v>35</v>
      </c>
      <c r="AE8" s="4">
        <f t="shared" si="2"/>
        <v>10</v>
      </c>
      <c r="AF8" s="4">
        <f t="shared" si="2"/>
        <v>3</v>
      </c>
      <c r="AG8" s="4">
        <f t="shared" si="2"/>
        <v>150</v>
      </c>
      <c r="AH8" s="4">
        <f t="shared" si="2"/>
        <v>60</v>
      </c>
      <c r="AI8" s="4">
        <f t="shared" si="2"/>
        <v>7</v>
      </c>
      <c r="AJ8" s="4">
        <f t="shared" si="2"/>
        <v>3</v>
      </c>
      <c r="AK8" s="4">
        <f t="shared" si="2"/>
        <v>73</v>
      </c>
      <c r="AL8" s="4">
        <f t="shared" si="2"/>
        <v>42</v>
      </c>
      <c r="AM8" s="4">
        <f t="shared" si="2"/>
        <v>43</v>
      </c>
      <c r="AN8" s="6"/>
      <c r="AO8" s="8"/>
      <c r="AP8" s="6"/>
    </row>
    <row r="9">
      <c r="A9" s="14" t="s">
        <v>7</v>
      </c>
      <c r="B9" s="15" t="s">
        <v>8</v>
      </c>
      <c r="C9" s="16" t="s">
        <v>9</v>
      </c>
      <c r="D9" s="16"/>
      <c r="E9" s="17" t="s">
        <v>10</v>
      </c>
      <c r="F9" s="5">
        <f>'2025'!F9</f>
        <v>88</v>
      </c>
      <c r="G9" s="5">
        <f>'2025'!G9</f>
        <v>80</v>
      </c>
      <c r="H9" s="5">
        <f>'2025'!H9</f>
        <v>82</v>
      </c>
      <c r="I9" s="5">
        <f>'2025'!I9</f>
        <v>5</v>
      </c>
      <c r="J9" s="5">
        <f>'2025'!J9</f>
        <v>12</v>
      </c>
      <c r="K9" s="5">
        <f>'2025'!K9</f>
        <v>29</v>
      </c>
      <c r="L9" s="5">
        <f>'2025'!L9</f>
        <v>99</v>
      </c>
      <c r="M9" s="5">
        <f>'2025'!M9</f>
        <v>25</v>
      </c>
      <c r="N9" s="5">
        <f>'2025'!N9</f>
        <v>12</v>
      </c>
      <c r="O9" s="5">
        <f>'2025'!O9</f>
        <v>40</v>
      </c>
      <c r="P9" s="5">
        <f>'2025'!P9</f>
        <v>80</v>
      </c>
      <c r="Q9" s="5">
        <f>'2025'!Q9</f>
        <v>15</v>
      </c>
      <c r="R9" s="5">
        <v>0.0</v>
      </c>
      <c r="S9" s="5">
        <f>'2025'!R9</f>
        <v>24</v>
      </c>
      <c r="T9" s="5">
        <v>0.0</v>
      </c>
      <c r="U9" s="5">
        <f>'2025'!S9</f>
        <v>19</v>
      </c>
      <c r="V9" s="5">
        <f>'2025'!T9</f>
        <v>55</v>
      </c>
      <c r="W9" s="5">
        <f>'2025'!U9</f>
        <v>9</v>
      </c>
      <c r="X9" s="5">
        <f>'2025'!V9</f>
        <v>51</v>
      </c>
      <c r="Y9" s="5">
        <f>'2025'!W9</f>
        <v>39</v>
      </c>
      <c r="Z9" s="5">
        <f>'2025'!X9</f>
        <v>20</v>
      </c>
      <c r="AA9" s="5">
        <f>'2025'!Y9</f>
        <v>4</v>
      </c>
      <c r="AB9" s="5">
        <f>'2025'!Z9</f>
        <v>17</v>
      </c>
      <c r="AC9" s="5">
        <f>'2025'!AA9</f>
        <v>31</v>
      </c>
      <c r="AD9" s="5">
        <f>'2025'!AB9</f>
        <v>29</v>
      </c>
      <c r="AE9" s="5">
        <f>'2025'!AC9</f>
        <v>8</v>
      </c>
      <c r="AF9" s="5">
        <f>'2025'!AD9</f>
        <v>3</v>
      </c>
      <c r="AG9" s="5">
        <f>'2025'!AE9</f>
        <v>106</v>
      </c>
      <c r="AH9" s="5">
        <f>'2025'!AF9</f>
        <v>46</v>
      </c>
      <c r="AI9" s="5">
        <f>'2025'!AG9</f>
        <v>4</v>
      </c>
      <c r="AJ9" s="5">
        <f>'2025'!AH9</f>
        <v>3</v>
      </c>
      <c r="AK9" s="5">
        <f>'2025'!AI9</f>
        <v>46</v>
      </c>
      <c r="AL9" s="5">
        <f>'2025'!AJ9</f>
        <v>26</v>
      </c>
      <c r="AM9" s="5">
        <f>'2025'!AK9</f>
        <v>26</v>
      </c>
      <c r="AN9" s="6"/>
      <c r="AO9" s="8"/>
      <c r="AP9" s="6"/>
    </row>
    <row r="10">
      <c r="A10" s="4"/>
      <c r="B10" s="4"/>
      <c r="C10" s="4"/>
      <c r="D10" s="4"/>
      <c r="E10" s="18" t="s">
        <v>11</v>
      </c>
      <c r="F10" s="4">
        <f t="shared" ref="F10:AL10" si="3">countif(F12:F1067,"x")</f>
        <v>49</v>
      </c>
      <c r="G10" s="4">
        <f t="shared" si="3"/>
        <v>34</v>
      </c>
      <c r="H10" s="4">
        <f t="shared" si="3"/>
        <v>40</v>
      </c>
      <c r="I10" s="4">
        <f t="shared" si="3"/>
        <v>22</v>
      </c>
      <c r="J10" s="4">
        <f t="shared" si="3"/>
        <v>1</v>
      </c>
      <c r="K10" s="4">
        <f t="shared" si="3"/>
        <v>15</v>
      </c>
      <c r="L10" s="4">
        <f t="shared" si="3"/>
        <v>30</v>
      </c>
      <c r="M10" s="4">
        <f t="shared" si="3"/>
        <v>15</v>
      </c>
      <c r="N10" s="4">
        <f t="shared" si="3"/>
        <v>8</v>
      </c>
      <c r="O10" s="4">
        <f t="shared" si="3"/>
        <v>5</v>
      </c>
      <c r="P10" s="4">
        <f t="shared" si="3"/>
        <v>35</v>
      </c>
      <c r="Q10" s="4">
        <f t="shared" si="3"/>
        <v>7</v>
      </c>
      <c r="R10" s="4">
        <f t="shared" si="3"/>
        <v>18</v>
      </c>
      <c r="S10" s="4">
        <f t="shared" si="3"/>
        <v>27</v>
      </c>
      <c r="T10" s="4">
        <f t="shared" si="3"/>
        <v>7</v>
      </c>
      <c r="U10" s="4">
        <f t="shared" si="3"/>
        <v>0</v>
      </c>
      <c r="V10" s="4">
        <f t="shared" si="3"/>
        <v>39</v>
      </c>
      <c r="W10" s="4">
        <f t="shared" si="3"/>
        <v>2</v>
      </c>
      <c r="X10" s="4">
        <f t="shared" si="3"/>
        <v>11</v>
      </c>
      <c r="Y10" s="4">
        <f t="shared" si="3"/>
        <v>28</v>
      </c>
      <c r="Z10" s="4">
        <f t="shared" si="3"/>
        <v>0</v>
      </c>
      <c r="AA10" s="4">
        <f t="shared" si="3"/>
        <v>0</v>
      </c>
      <c r="AB10" s="4">
        <f t="shared" si="3"/>
        <v>9</v>
      </c>
      <c r="AC10" s="4">
        <f t="shared" si="3"/>
        <v>15</v>
      </c>
      <c r="AD10" s="4">
        <f t="shared" si="3"/>
        <v>6</v>
      </c>
      <c r="AE10" s="4">
        <f t="shared" si="3"/>
        <v>2</v>
      </c>
      <c r="AF10" s="4">
        <f t="shared" si="3"/>
        <v>0</v>
      </c>
      <c r="AG10" s="4">
        <f t="shared" si="3"/>
        <v>44</v>
      </c>
      <c r="AH10" s="4">
        <f t="shared" si="3"/>
        <v>14</v>
      </c>
      <c r="AI10" s="4">
        <f t="shared" si="3"/>
        <v>3</v>
      </c>
      <c r="AJ10" s="4">
        <f t="shared" si="3"/>
        <v>0</v>
      </c>
      <c r="AK10" s="4">
        <f t="shared" si="3"/>
        <v>27</v>
      </c>
      <c r="AL10" s="4">
        <f t="shared" si="3"/>
        <v>16</v>
      </c>
      <c r="AM10" s="4">
        <f>sum(AM12:AM1067)</f>
        <v>17</v>
      </c>
      <c r="AN10" s="3">
        <f>sum(F10:AM10)</f>
        <v>546</v>
      </c>
      <c r="AO10" s="19">
        <f>sum(AO12:AO172)</f>
        <v>5458.51</v>
      </c>
    </row>
    <row r="11">
      <c r="A11" s="20" t="s">
        <v>12</v>
      </c>
      <c r="B11" s="20" t="s">
        <v>13</v>
      </c>
      <c r="C11" s="20" t="s">
        <v>14</v>
      </c>
      <c r="D11" s="20" t="s">
        <v>15</v>
      </c>
      <c r="E11" s="20" t="s">
        <v>16</v>
      </c>
      <c r="F11" s="21" t="s">
        <v>17</v>
      </c>
      <c r="G11" s="21" t="s">
        <v>18</v>
      </c>
      <c r="H11" s="20" t="s">
        <v>19</v>
      </c>
      <c r="I11" s="20" t="s">
        <v>20</v>
      </c>
      <c r="J11" s="20" t="s">
        <v>21</v>
      </c>
      <c r="K11" s="20" t="s">
        <v>22</v>
      </c>
      <c r="L11" s="21" t="s">
        <v>23</v>
      </c>
      <c r="M11" s="20" t="s">
        <v>24</v>
      </c>
      <c r="N11" s="20" t="s">
        <v>25</v>
      </c>
      <c r="O11" s="21" t="s">
        <v>26</v>
      </c>
      <c r="P11" s="21" t="s">
        <v>27</v>
      </c>
      <c r="Q11" s="21" t="s">
        <v>28</v>
      </c>
      <c r="R11" s="22" t="s">
        <v>29</v>
      </c>
      <c r="S11" s="20" t="s">
        <v>30</v>
      </c>
      <c r="T11" s="20" t="s">
        <v>31</v>
      </c>
      <c r="U11" s="21" t="s">
        <v>32</v>
      </c>
      <c r="V11" s="21" t="s">
        <v>33</v>
      </c>
      <c r="W11" s="20" t="s">
        <v>34</v>
      </c>
      <c r="X11" s="21" t="s">
        <v>35</v>
      </c>
      <c r="Y11" s="20" t="s">
        <v>36</v>
      </c>
      <c r="Z11" s="20" t="s">
        <v>37</v>
      </c>
      <c r="AA11" s="20" t="s">
        <v>38</v>
      </c>
      <c r="AB11" s="20" t="s">
        <v>39</v>
      </c>
      <c r="AC11" s="21" t="s">
        <v>40</v>
      </c>
      <c r="AD11" s="20" t="s">
        <v>41</v>
      </c>
      <c r="AE11" s="21" t="s">
        <v>42</v>
      </c>
      <c r="AF11" s="20" t="s">
        <v>43</v>
      </c>
      <c r="AG11" s="21" t="s">
        <v>44</v>
      </c>
      <c r="AH11" s="21" t="s">
        <v>45</v>
      </c>
      <c r="AI11" s="21" t="s">
        <v>46</v>
      </c>
      <c r="AJ11" s="20" t="s">
        <v>47</v>
      </c>
      <c r="AK11" s="21" t="s">
        <v>48</v>
      </c>
      <c r="AL11" s="20" t="s">
        <v>49</v>
      </c>
      <c r="AM11" s="23" t="s">
        <v>50</v>
      </c>
      <c r="AN11" s="21"/>
      <c r="AO11" s="24"/>
      <c r="AP11" s="21"/>
    </row>
    <row r="12">
      <c r="A12" s="25">
        <v>46024.0</v>
      </c>
      <c r="B12" s="4" t="s">
        <v>51</v>
      </c>
      <c r="C12" s="4" t="s">
        <v>52</v>
      </c>
      <c r="D12" s="26">
        <v>7.0</v>
      </c>
      <c r="E12" s="27">
        <v>7.1</v>
      </c>
      <c r="F12" s="6"/>
      <c r="G12" s="5" t="s">
        <v>53</v>
      </c>
      <c r="H12" s="5" t="s">
        <v>53</v>
      </c>
      <c r="I12" s="6"/>
      <c r="J12" s="6"/>
      <c r="K12" s="5" t="s">
        <v>53</v>
      </c>
      <c r="L12" s="5" t="s">
        <v>53</v>
      </c>
      <c r="M12" s="5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5"/>
      <c r="AB12" s="5"/>
      <c r="AC12" s="6"/>
      <c r="AD12" s="6"/>
      <c r="AE12" s="6"/>
      <c r="AF12" s="5"/>
      <c r="AG12" s="5" t="s">
        <v>53</v>
      </c>
      <c r="AH12" s="6"/>
      <c r="AI12" s="6"/>
      <c r="AJ12" s="5"/>
      <c r="AK12" s="6"/>
      <c r="AL12" s="6"/>
      <c r="AM12" s="6"/>
      <c r="AN12" s="3">
        <f t="shared" ref="AN12:AN174" si="4">countif(F12:AL12,"x")+AM12</f>
        <v>5</v>
      </c>
      <c r="AO12" s="19">
        <f t="shared" ref="AO12:AO68" si="5">AN12*E12</f>
        <v>35.5</v>
      </c>
    </row>
    <row r="13">
      <c r="A13" s="28">
        <f>A12+3</f>
        <v>46027</v>
      </c>
      <c r="B13" s="4" t="s">
        <v>54</v>
      </c>
      <c r="C13" s="29" t="s">
        <v>55</v>
      </c>
      <c r="D13" s="26">
        <v>10.0</v>
      </c>
      <c r="E13" s="27">
        <v>10.41</v>
      </c>
      <c r="F13" s="5" t="s">
        <v>53</v>
      </c>
      <c r="G13" s="6"/>
      <c r="H13" s="5" t="s">
        <v>53</v>
      </c>
      <c r="I13" s="5"/>
      <c r="J13" s="5"/>
      <c r="K13" s="5"/>
      <c r="L13" s="6"/>
      <c r="M13" s="5"/>
      <c r="N13" s="5"/>
      <c r="O13" s="6"/>
      <c r="P13" s="6"/>
      <c r="Q13" s="6"/>
      <c r="R13" s="5" t="s">
        <v>53</v>
      </c>
      <c r="S13" s="5"/>
      <c r="T13" s="5"/>
      <c r="U13" s="6"/>
      <c r="V13" s="6"/>
      <c r="W13" s="6"/>
      <c r="X13" s="5" t="s">
        <v>53</v>
      </c>
      <c r="Y13" s="5" t="s">
        <v>53</v>
      </c>
      <c r="Z13" s="6"/>
      <c r="AA13" s="6"/>
      <c r="AB13" s="5"/>
      <c r="AC13" s="6"/>
      <c r="AD13" s="6"/>
      <c r="AE13" s="6"/>
      <c r="AF13" s="6"/>
      <c r="AG13" s="6"/>
      <c r="AH13" s="5" t="s">
        <v>53</v>
      </c>
      <c r="AI13" s="6"/>
      <c r="AJ13" s="6"/>
      <c r="AK13" s="5" t="s">
        <v>53</v>
      </c>
      <c r="AL13" s="5"/>
      <c r="AM13" s="6"/>
      <c r="AN13" s="3">
        <f t="shared" si="4"/>
        <v>7</v>
      </c>
      <c r="AO13" s="19">
        <f t="shared" si="5"/>
        <v>72.87</v>
      </c>
    </row>
    <row r="14">
      <c r="A14" s="28">
        <f t="shared" ref="A14:A15" si="6">A13+2</f>
        <v>46029</v>
      </c>
      <c r="B14" s="4" t="s">
        <v>56</v>
      </c>
      <c r="C14" s="4" t="s">
        <v>57</v>
      </c>
      <c r="D14" s="26">
        <v>8.0</v>
      </c>
      <c r="E14" s="27">
        <v>8.0</v>
      </c>
      <c r="F14" s="5" t="s">
        <v>53</v>
      </c>
      <c r="G14" s="5" t="s">
        <v>53</v>
      </c>
      <c r="H14" s="5" t="s">
        <v>53</v>
      </c>
      <c r="I14" s="5"/>
      <c r="J14" s="5"/>
      <c r="K14" s="5" t="s">
        <v>53</v>
      </c>
      <c r="L14" s="5" t="s">
        <v>53</v>
      </c>
      <c r="M14" s="5" t="s">
        <v>53</v>
      </c>
      <c r="N14" s="5"/>
      <c r="O14" s="5" t="s">
        <v>53</v>
      </c>
      <c r="P14" s="6"/>
      <c r="Q14" s="5" t="s">
        <v>53</v>
      </c>
      <c r="R14" s="6"/>
      <c r="S14" s="5"/>
      <c r="T14" s="5"/>
      <c r="U14" s="6"/>
      <c r="V14" s="6"/>
      <c r="W14" s="6"/>
      <c r="X14" s="5" t="s">
        <v>53</v>
      </c>
      <c r="Y14" s="5" t="s">
        <v>53</v>
      </c>
      <c r="Z14" s="6"/>
      <c r="AA14" s="6"/>
      <c r="AB14" s="5"/>
      <c r="AC14" s="5"/>
      <c r="AD14" s="5" t="s">
        <v>53</v>
      </c>
      <c r="AE14" s="5" t="s">
        <v>53</v>
      </c>
      <c r="AF14" s="6"/>
      <c r="AG14" s="5" t="s">
        <v>53</v>
      </c>
      <c r="AH14" s="5" t="s">
        <v>53</v>
      </c>
      <c r="AI14" s="5" t="s">
        <v>53</v>
      </c>
      <c r="AJ14" s="6"/>
      <c r="AK14" s="5" t="s">
        <v>53</v>
      </c>
      <c r="AL14" s="5"/>
      <c r="AM14" s="5">
        <v>2.0</v>
      </c>
      <c r="AN14" s="3">
        <f t="shared" si="4"/>
        <v>18</v>
      </c>
      <c r="AO14" s="19">
        <f t="shared" si="5"/>
        <v>144</v>
      </c>
    </row>
    <row r="15">
      <c r="A15" s="30">
        <f t="shared" si="6"/>
        <v>46031</v>
      </c>
      <c r="B15" s="4" t="s">
        <v>51</v>
      </c>
      <c r="C15" s="4" t="s">
        <v>52</v>
      </c>
      <c r="D15" s="26">
        <v>7.0</v>
      </c>
      <c r="E15" s="27">
        <v>7.06</v>
      </c>
      <c r="F15" s="5" t="s">
        <v>53</v>
      </c>
      <c r="G15" s="5" t="s">
        <v>53</v>
      </c>
      <c r="H15" s="5" t="s">
        <v>53</v>
      </c>
      <c r="I15" s="5"/>
      <c r="J15" s="5"/>
      <c r="K15" s="5"/>
      <c r="L15" s="5" t="s">
        <v>53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5" t="s">
        <v>53</v>
      </c>
      <c r="AF15" s="6"/>
      <c r="AG15" s="6"/>
      <c r="AH15" s="6"/>
      <c r="AI15" s="6"/>
      <c r="AJ15" s="6"/>
      <c r="AK15" s="6"/>
      <c r="AL15" s="6"/>
      <c r="AM15" s="6"/>
      <c r="AN15" s="3">
        <f t="shared" si="4"/>
        <v>5</v>
      </c>
      <c r="AO15" s="19">
        <f t="shared" si="5"/>
        <v>35.3</v>
      </c>
    </row>
    <row r="16">
      <c r="A16" s="30">
        <f>A15+3</f>
        <v>46034</v>
      </c>
      <c r="B16" s="4" t="s">
        <v>54</v>
      </c>
      <c r="C16" s="4" t="s">
        <v>58</v>
      </c>
      <c r="D16" s="26">
        <v>10.0</v>
      </c>
      <c r="E16" s="27">
        <v>10.42</v>
      </c>
      <c r="F16" s="5" t="s">
        <v>53</v>
      </c>
      <c r="G16" s="6"/>
      <c r="H16" s="5" t="s">
        <v>53</v>
      </c>
      <c r="I16" s="5"/>
      <c r="J16" s="5"/>
      <c r="K16" s="5"/>
      <c r="L16" s="6"/>
      <c r="M16" s="5"/>
      <c r="N16" s="5"/>
      <c r="O16" s="5" t="s">
        <v>53</v>
      </c>
      <c r="P16" s="6"/>
      <c r="Q16" s="6"/>
      <c r="R16" s="5" t="s">
        <v>53</v>
      </c>
      <c r="S16" s="5" t="s">
        <v>53</v>
      </c>
      <c r="T16" s="5"/>
      <c r="U16" s="6"/>
      <c r="V16" s="5" t="s">
        <v>53</v>
      </c>
      <c r="W16" s="6"/>
      <c r="X16" s="5" t="s">
        <v>53</v>
      </c>
      <c r="Y16" s="5" t="s">
        <v>53</v>
      </c>
      <c r="Z16" s="6"/>
      <c r="AA16" s="5"/>
      <c r="AB16" s="6"/>
      <c r="AC16" s="6"/>
      <c r="AD16" s="6"/>
      <c r="AE16" s="6"/>
      <c r="AF16" s="5"/>
      <c r="AG16" s="6"/>
      <c r="AH16" s="5" t="s">
        <v>53</v>
      </c>
      <c r="AI16" s="6"/>
      <c r="AJ16" s="5"/>
      <c r="AK16" s="5" t="s">
        <v>53</v>
      </c>
      <c r="AL16" s="5"/>
      <c r="AM16" s="6"/>
      <c r="AN16" s="3">
        <f t="shared" si="4"/>
        <v>10</v>
      </c>
      <c r="AO16" s="19">
        <f t="shared" si="5"/>
        <v>104.2</v>
      </c>
    </row>
    <row r="17">
      <c r="A17" s="28">
        <f t="shared" ref="A17:A18" si="7">A16+2</f>
        <v>46036</v>
      </c>
      <c r="B17" s="4" t="s">
        <v>56</v>
      </c>
      <c r="C17" s="4" t="s">
        <v>59</v>
      </c>
      <c r="D17" s="26">
        <v>8.0</v>
      </c>
      <c r="E17" s="27">
        <v>8.68</v>
      </c>
      <c r="F17" s="5" t="s">
        <v>53</v>
      </c>
      <c r="G17" s="5" t="s">
        <v>53</v>
      </c>
      <c r="H17" s="5" t="s">
        <v>53</v>
      </c>
      <c r="I17" s="5"/>
      <c r="J17" s="5" t="s">
        <v>53</v>
      </c>
      <c r="K17" s="5" t="s">
        <v>53</v>
      </c>
      <c r="L17" s="5" t="s">
        <v>53</v>
      </c>
      <c r="M17" s="5" t="s">
        <v>53</v>
      </c>
      <c r="N17" s="5"/>
      <c r="O17" s="6"/>
      <c r="P17" s="6"/>
      <c r="Q17" s="5" t="s">
        <v>53</v>
      </c>
      <c r="R17" s="6"/>
      <c r="S17" s="5" t="s">
        <v>53</v>
      </c>
      <c r="T17" s="5"/>
      <c r="U17" s="6"/>
      <c r="V17" s="5" t="s">
        <v>53</v>
      </c>
      <c r="W17" s="6"/>
      <c r="X17" s="5" t="s">
        <v>53</v>
      </c>
      <c r="Y17" s="5" t="s">
        <v>53</v>
      </c>
      <c r="Z17" s="6"/>
      <c r="AA17" s="5"/>
      <c r="AB17" s="6"/>
      <c r="AC17" s="6"/>
      <c r="AD17" s="6"/>
      <c r="AE17" s="6"/>
      <c r="AF17" s="5"/>
      <c r="AG17" s="5" t="s">
        <v>53</v>
      </c>
      <c r="AH17" s="6"/>
      <c r="AI17" s="6"/>
      <c r="AJ17" s="5"/>
      <c r="AK17" s="5" t="s">
        <v>53</v>
      </c>
      <c r="AL17" s="5"/>
      <c r="AM17" s="6"/>
      <c r="AN17" s="3">
        <f t="shared" si="4"/>
        <v>14</v>
      </c>
      <c r="AO17" s="19">
        <f t="shared" si="5"/>
        <v>121.52</v>
      </c>
    </row>
    <row r="18">
      <c r="A18" s="28">
        <f t="shared" si="7"/>
        <v>46038</v>
      </c>
      <c r="B18" s="4" t="s">
        <v>60</v>
      </c>
      <c r="C18" s="4" t="s">
        <v>61</v>
      </c>
      <c r="D18" s="26">
        <v>12.5</v>
      </c>
      <c r="E18" s="27">
        <v>12.3</v>
      </c>
      <c r="F18" s="5" t="s">
        <v>53</v>
      </c>
      <c r="G18" s="5" t="s">
        <v>53</v>
      </c>
      <c r="H18" s="5" t="s">
        <v>53</v>
      </c>
      <c r="I18" s="5"/>
      <c r="J18" s="5"/>
      <c r="K18" s="5"/>
      <c r="L18" s="5" t="s">
        <v>53</v>
      </c>
      <c r="M18" s="6"/>
      <c r="N18" s="6"/>
      <c r="O18" s="6"/>
      <c r="P18" s="6"/>
      <c r="Q18" s="6"/>
      <c r="R18" s="6"/>
      <c r="S18" s="6"/>
      <c r="T18" s="6"/>
      <c r="U18" s="6"/>
      <c r="V18" s="5" t="s">
        <v>53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5" t="s">
        <v>53</v>
      </c>
      <c r="AH18" s="6"/>
      <c r="AI18" s="6"/>
      <c r="AJ18" s="6"/>
      <c r="AK18" s="5" t="s">
        <v>53</v>
      </c>
      <c r="AL18" s="6"/>
      <c r="AM18" s="5">
        <v>1.0</v>
      </c>
      <c r="AN18" s="3">
        <f t="shared" si="4"/>
        <v>8</v>
      </c>
      <c r="AO18" s="19">
        <f t="shared" si="5"/>
        <v>98.4</v>
      </c>
    </row>
    <row r="19">
      <c r="A19" s="30">
        <f>A18+3</f>
        <v>46041</v>
      </c>
      <c r="B19" s="4" t="s">
        <v>54</v>
      </c>
      <c r="C19" s="4" t="s">
        <v>59</v>
      </c>
      <c r="D19" s="26">
        <v>10.0</v>
      </c>
      <c r="E19" s="27">
        <v>10.85</v>
      </c>
      <c r="F19" s="5" t="s">
        <v>53</v>
      </c>
      <c r="G19" s="6"/>
      <c r="H19" s="5" t="s">
        <v>53</v>
      </c>
      <c r="I19" s="5"/>
      <c r="J19" s="5"/>
      <c r="K19" s="5"/>
      <c r="L19" s="6"/>
      <c r="M19" s="6"/>
      <c r="N19" s="6"/>
      <c r="O19" s="6"/>
      <c r="P19" s="6"/>
      <c r="Q19" s="6"/>
      <c r="R19" s="5" t="s">
        <v>53</v>
      </c>
      <c r="S19" s="5" t="s">
        <v>53</v>
      </c>
      <c r="T19" s="5"/>
      <c r="U19" s="6"/>
      <c r="V19" s="5" t="s">
        <v>53</v>
      </c>
      <c r="W19" s="6"/>
      <c r="X19" s="5" t="s">
        <v>53</v>
      </c>
      <c r="Y19" s="6"/>
      <c r="Z19" s="6"/>
      <c r="AA19" s="5"/>
      <c r="AB19" s="5" t="s">
        <v>53</v>
      </c>
      <c r="AC19" s="6"/>
      <c r="AD19" s="6"/>
      <c r="AE19" s="6"/>
      <c r="AF19" s="5"/>
      <c r="AG19" s="6"/>
      <c r="AH19" s="5" t="s">
        <v>53</v>
      </c>
      <c r="AI19" s="6"/>
      <c r="AJ19" s="5"/>
      <c r="AK19" s="5" t="s">
        <v>53</v>
      </c>
      <c r="AL19" s="6"/>
      <c r="AM19" s="6"/>
      <c r="AN19" s="3">
        <f t="shared" si="4"/>
        <v>9</v>
      </c>
      <c r="AO19" s="19">
        <f t="shared" si="5"/>
        <v>97.65</v>
      </c>
    </row>
    <row r="20">
      <c r="A20" s="28">
        <f t="shared" ref="A20:A21" si="8">A19+2</f>
        <v>46043</v>
      </c>
      <c r="B20" s="4" t="s">
        <v>56</v>
      </c>
      <c r="C20" s="4" t="s">
        <v>62</v>
      </c>
      <c r="D20" s="26">
        <v>12.5</v>
      </c>
      <c r="E20" s="27">
        <v>12.31</v>
      </c>
      <c r="F20" s="5" t="s">
        <v>53</v>
      </c>
      <c r="G20" s="5" t="s">
        <v>53</v>
      </c>
      <c r="H20" s="5" t="s">
        <v>53</v>
      </c>
      <c r="I20" s="5"/>
      <c r="J20" s="5"/>
      <c r="K20" s="5"/>
      <c r="L20" s="5" t="s">
        <v>53</v>
      </c>
      <c r="M20" s="5" t="s">
        <v>53</v>
      </c>
      <c r="N20" s="6"/>
      <c r="O20" s="5" t="s">
        <v>53</v>
      </c>
      <c r="P20" s="5" t="s">
        <v>53</v>
      </c>
      <c r="Q20" s="6"/>
      <c r="R20" s="6"/>
      <c r="S20" s="5" t="s">
        <v>53</v>
      </c>
      <c r="T20" s="5"/>
      <c r="U20" s="6"/>
      <c r="V20" s="5" t="s">
        <v>53</v>
      </c>
      <c r="W20" s="6"/>
      <c r="X20" s="5" t="s">
        <v>53</v>
      </c>
      <c r="Y20" s="6"/>
      <c r="Z20" s="6"/>
      <c r="AA20" s="5"/>
      <c r="AB20" s="5"/>
      <c r="AC20" s="6"/>
      <c r="AD20" s="5" t="s">
        <v>53</v>
      </c>
      <c r="AE20" s="6"/>
      <c r="AF20" s="5"/>
      <c r="AG20" s="5" t="s">
        <v>53</v>
      </c>
      <c r="AH20" s="5" t="s">
        <v>53</v>
      </c>
      <c r="AI20" s="6"/>
      <c r="AJ20" s="5"/>
      <c r="AK20" s="5" t="s">
        <v>53</v>
      </c>
      <c r="AL20" s="5" t="s">
        <v>53</v>
      </c>
      <c r="AM20" s="6"/>
      <c r="AN20" s="3">
        <f t="shared" si="4"/>
        <v>15</v>
      </c>
      <c r="AO20" s="19">
        <f t="shared" si="5"/>
        <v>184.65</v>
      </c>
    </row>
    <row r="21">
      <c r="A21" s="30">
        <f t="shared" si="8"/>
        <v>46045</v>
      </c>
      <c r="B21" s="4" t="s">
        <v>51</v>
      </c>
      <c r="C21" s="4" t="s">
        <v>52</v>
      </c>
      <c r="D21" s="26">
        <v>7.0</v>
      </c>
      <c r="E21" s="27">
        <v>7.11</v>
      </c>
      <c r="F21" s="5" t="s">
        <v>53</v>
      </c>
      <c r="G21" s="5" t="s">
        <v>53</v>
      </c>
      <c r="H21" s="6"/>
      <c r="I21" s="5"/>
      <c r="J21" s="5"/>
      <c r="K21" s="5"/>
      <c r="L21" s="5" t="s">
        <v>53</v>
      </c>
      <c r="M21" s="6"/>
      <c r="N21" s="6"/>
      <c r="O21" s="6"/>
      <c r="P21" s="5" t="s">
        <v>53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5"/>
      <c r="AB21" s="6"/>
      <c r="AC21" s="6"/>
      <c r="AD21" s="6"/>
      <c r="AE21" s="6"/>
      <c r="AF21" s="5"/>
      <c r="AG21" s="5" t="s">
        <v>53</v>
      </c>
      <c r="AH21" s="6"/>
      <c r="AI21" s="6"/>
      <c r="AJ21" s="5"/>
      <c r="AK21" s="6"/>
      <c r="AL21" s="6"/>
      <c r="AM21" s="6"/>
      <c r="AN21" s="3">
        <f t="shared" si="4"/>
        <v>5</v>
      </c>
      <c r="AO21" s="19">
        <f t="shared" si="5"/>
        <v>35.55</v>
      </c>
    </row>
    <row r="22">
      <c r="A22" s="31">
        <f>A21+3</f>
        <v>46048</v>
      </c>
      <c r="B22" s="4" t="s">
        <v>56</v>
      </c>
      <c r="C22" s="4" t="s">
        <v>63</v>
      </c>
      <c r="D22" s="26">
        <v>21.1</v>
      </c>
      <c r="E22" s="27">
        <v>21.27</v>
      </c>
      <c r="F22" s="5" t="s">
        <v>53</v>
      </c>
      <c r="G22" s="5" t="s">
        <v>53</v>
      </c>
      <c r="H22" s="6"/>
      <c r="I22" s="5"/>
      <c r="J22" s="5"/>
      <c r="K22" s="5"/>
      <c r="L22" s="5" t="s">
        <v>53</v>
      </c>
      <c r="M22" s="6"/>
      <c r="N22" s="6"/>
      <c r="O22" s="6"/>
      <c r="P22" s="5" t="s">
        <v>53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5"/>
      <c r="AB22" s="6"/>
      <c r="AC22" s="6"/>
      <c r="AD22" s="6"/>
      <c r="AE22" s="6"/>
      <c r="AF22" s="5"/>
      <c r="AG22" s="5" t="s">
        <v>53</v>
      </c>
      <c r="AH22" s="6"/>
      <c r="AI22" s="6"/>
      <c r="AJ22" s="5"/>
      <c r="AK22" s="6"/>
      <c r="AL22" s="6"/>
      <c r="AM22" s="5"/>
      <c r="AN22" s="3">
        <f t="shared" si="4"/>
        <v>5</v>
      </c>
      <c r="AO22" s="19">
        <f t="shared" si="5"/>
        <v>106.35</v>
      </c>
    </row>
    <row r="23">
      <c r="A23" s="31">
        <f>A22</f>
        <v>46048</v>
      </c>
      <c r="B23" s="4" t="s">
        <v>56</v>
      </c>
      <c r="C23" s="4" t="s">
        <v>64</v>
      </c>
      <c r="D23" s="26">
        <v>10.0</v>
      </c>
      <c r="E23" s="27">
        <v>10.0</v>
      </c>
      <c r="F23" s="6"/>
      <c r="G23" s="6"/>
      <c r="H23" s="6"/>
      <c r="I23" s="5" t="s">
        <v>53</v>
      </c>
      <c r="J23" s="6"/>
      <c r="K23" s="6"/>
      <c r="L23" s="6"/>
      <c r="M23" s="6"/>
      <c r="N23" s="6"/>
      <c r="O23" s="6"/>
      <c r="P23" s="6"/>
      <c r="Q23" s="6"/>
      <c r="R23" s="6"/>
      <c r="S23" s="5"/>
      <c r="T23" s="5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5"/>
      <c r="AM23" s="5">
        <v>1.0</v>
      </c>
      <c r="AN23" s="3">
        <f t="shared" si="4"/>
        <v>2</v>
      </c>
      <c r="AO23" s="19">
        <f t="shared" si="5"/>
        <v>20</v>
      </c>
    </row>
    <row r="24">
      <c r="A24" s="30">
        <f t="shared" ref="A24:A25" si="9">A23+2</f>
        <v>46050</v>
      </c>
      <c r="B24" s="4" t="s">
        <v>56</v>
      </c>
      <c r="C24" s="4" t="s">
        <v>59</v>
      </c>
      <c r="D24" s="26">
        <v>8.0</v>
      </c>
      <c r="E24" s="27">
        <v>8.77</v>
      </c>
      <c r="F24" s="5" t="s">
        <v>53</v>
      </c>
      <c r="G24" s="5" t="s">
        <v>53</v>
      </c>
      <c r="H24" s="5" t="s">
        <v>53</v>
      </c>
      <c r="I24" s="5" t="s">
        <v>53</v>
      </c>
      <c r="J24" s="5"/>
      <c r="K24" s="5"/>
      <c r="L24" s="6"/>
      <c r="M24" s="5" t="s">
        <v>53</v>
      </c>
      <c r="N24" s="5" t="s">
        <v>53</v>
      </c>
      <c r="O24" s="6"/>
      <c r="P24" s="5" t="s">
        <v>53</v>
      </c>
      <c r="Q24" s="6"/>
      <c r="R24" s="6"/>
      <c r="S24" s="6"/>
      <c r="T24" s="6"/>
      <c r="U24" s="6"/>
      <c r="V24" s="5" t="s">
        <v>53</v>
      </c>
      <c r="W24" s="5" t="s">
        <v>53</v>
      </c>
      <c r="X24" s="5" t="s">
        <v>53</v>
      </c>
      <c r="Y24" s="6"/>
      <c r="Z24" s="6"/>
      <c r="AA24" s="5"/>
      <c r="AB24" s="6"/>
      <c r="AC24" s="6"/>
      <c r="AD24" s="6"/>
      <c r="AE24" s="6"/>
      <c r="AF24" s="5"/>
      <c r="AG24" s="5" t="s">
        <v>53</v>
      </c>
      <c r="AH24" s="6"/>
      <c r="AI24" s="6"/>
      <c r="AJ24" s="5"/>
      <c r="AK24" s="5" t="s">
        <v>53</v>
      </c>
      <c r="AL24" s="5" t="s">
        <v>53</v>
      </c>
      <c r="AM24" s="5"/>
      <c r="AN24" s="3">
        <f t="shared" si="4"/>
        <v>13</v>
      </c>
      <c r="AO24" s="19">
        <f t="shared" si="5"/>
        <v>114.01</v>
      </c>
    </row>
    <row r="25">
      <c r="A25" s="30">
        <f t="shared" si="9"/>
        <v>46052</v>
      </c>
      <c r="B25" s="4" t="s">
        <v>51</v>
      </c>
      <c r="C25" s="4" t="s">
        <v>52</v>
      </c>
      <c r="D25" s="26">
        <v>7.0</v>
      </c>
      <c r="E25" s="27">
        <v>7.08</v>
      </c>
      <c r="F25" s="5" t="s">
        <v>53</v>
      </c>
      <c r="G25" s="5" t="s">
        <v>53</v>
      </c>
      <c r="H25" s="6"/>
      <c r="I25" s="5"/>
      <c r="J25" s="5"/>
      <c r="K25" s="5"/>
      <c r="L25" s="6"/>
      <c r="M25" s="5"/>
      <c r="N25" s="5"/>
      <c r="O25" s="6"/>
      <c r="P25" s="5" t="s">
        <v>53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5"/>
      <c r="AB25" s="6"/>
      <c r="AC25" s="5" t="s">
        <v>53</v>
      </c>
      <c r="AD25" s="6"/>
      <c r="AE25" s="6"/>
      <c r="AF25" s="5"/>
      <c r="AG25" s="5" t="s">
        <v>53</v>
      </c>
      <c r="AH25" s="6"/>
      <c r="AI25" s="6"/>
      <c r="AJ25" s="5"/>
      <c r="AK25" s="6"/>
      <c r="AL25" s="6"/>
      <c r="AM25" s="6"/>
      <c r="AN25" s="3">
        <f t="shared" si="4"/>
        <v>5</v>
      </c>
      <c r="AO25" s="19">
        <f t="shared" si="5"/>
        <v>35.4</v>
      </c>
    </row>
    <row r="26">
      <c r="A26" s="30">
        <f>A25+3</f>
        <v>46055</v>
      </c>
      <c r="B26" s="4" t="s">
        <v>54</v>
      </c>
      <c r="C26" s="4" t="s">
        <v>59</v>
      </c>
      <c r="D26" s="26">
        <v>10.0</v>
      </c>
      <c r="E26" s="27">
        <v>11.0</v>
      </c>
      <c r="F26" s="6"/>
      <c r="G26" s="6"/>
      <c r="H26" s="6"/>
      <c r="I26" s="5" t="s">
        <v>53</v>
      </c>
      <c r="J26" s="5"/>
      <c r="K26" s="5"/>
      <c r="L26" s="6"/>
      <c r="M26" s="5"/>
      <c r="N26" s="5"/>
      <c r="O26" s="6"/>
      <c r="P26" s="6"/>
      <c r="Q26" s="6"/>
      <c r="R26" s="5"/>
      <c r="S26" s="5"/>
      <c r="T26" s="5"/>
      <c r="U26" s="6"/>
      <c r="V26" s="5" t="s">
        <v>53</v>
      </c>
      <c r="W26" s="6"/>
      <c r="X26" s="5" t="s">
        <v>53</v>
      </c>
      <c r="Y26" s="5" t="s">
        <v>53</v>
      </c>
      <c r="Z26" s="6"/>
      <c r="AA26" s="5"/>
      <c r="AB26" s="6"/>
      <c r="AC26" s="5" t="s">
        <v>53</v>
      </c>
      <c r="AD26" s="6"/>
      <c r="AE26" s="6"/>
      <c r="AF26" s="5"/>
      <c r="AG26" s="6"/>
      <c r="AH26" s="6"/>
      <c r="AI26" s="6"/>
      <c r="AJ26" s="5"/>
      <c r="AK26" s="5" t="s">
        <v>53</v>
      </c>
      <c r="AL26" s="5"/>
      <c r="AM26" s="5"/>
      <c r="AN26" s="3">
        <f t="shared" si="4"/>
        <v>6</v>
      </c>
      <c r="AO26" s="19">
        <f t="shared" si="5"/>
        <v>66</v>
      </c>
    </row>
    <row r="27">
      <c r="A27" s="28">
        <f t="shared" ref="A27:A28" si="10">A26+2</f>
        <v>46057</v>
      </c>
      <c r="B27" s="4" t="s">
        <v>56</v>
      </c>
      <c r="C27" s="4" t="s">
        <v>57</v>
      </c>
      <c r="D27" s="26">
        <v>8.0</v>
      </c>
      <c r="E27" s="27">
        <v>7.99</v>
      </c>
      <c r="F27" s="5" t="s">
        <v>53</v>
      </c>
      <c r="G27" s="5" t="s">
        <v>53</v>
      </c>
      <c r="H27" s="5" t="s">
        <v>53</v>
      </c>
      <c r="I27" s="5" t="s">
        <v>53</v>
      </c>
      <c r="J27" s="5"/>
      <c r="K27" s="5" t="s">
        <v>53</v>
      </c>
      <c r="L27" s="6"/>
      <c r="M27" s="5" t="s">
        <v>53</v>
      </c>
      <c r="N27" s="5" t="s">
        <v>53</v>
      </c>
      <c r="O27" s="5" t="s">
        <v>53</v>
      </c>
      <c r="P27" s="5" t="s">
        <v>53</v>
      </c>
      <c r="Q27" s="6"/>
      <c r="R27" s="6"/>
      <c r="S27" s="5" t="s">
        <v>53</v>
      </c>
      <c r="T27" s="5" t="s">
        <v>53</v>
      </c>
      <c r="U27" s="6"/>
      <c r="V27" s="5" t="s">
        <v>53</v>
      </c>
      <c r="W27" s="6"/>
      <c r="X27" s="5" t="s">
        <v>53</v>
      </c>
      <c r="Y27" s="6"/>
      <c r="Z27" s="6"/>
      <c r="AA27" s="5"/>
      <c r="AB27" s="6"/>
      <c r="AC27" s="5" t="s">
        <v>53</v>
      </c>
      <c r="AD27" s="5" t="s">
        <v>53</v>
      </c>
      <c r="AE27" s="6"/>
      <c r="AF27" s="5"/>
      <c r="AG27" s="5" t="s">
        <v>53</v>
      </c>
      <c r="AH27" s="6"/>
      <c r="AI27" s="6"/>
      <c r="AJ27" s="5"/>
      <c r="AK27" s="5" t="s">
        <v>53</v>
      </c>
      <c r="AL27" s="5"/>
      <c r="AM27" s="5">
        <v>1.0</v>
      </c>
      <c r="AN27" s="3">
        <f t="shared" si="4"/>
        <v>18</v>
      </c>
      <c r="AO27" s="19">
        <f t="shared" si="5"/>
        <v>143.82</v>
      </c>
    </row>
    <row r="28">
      <c r="A28" s="30">
        <f t="shared" si="10"/>
        <v>46059</v>
      </c>
      <c r="B28" s="4" t="s">
        <v>51</v>
      </c>
      <c r="C28" s="4" t="s">
        <v>52</v>
      </c>
      <c r="D28" s="26">
        <v>7.0</v>
      </c>
      <c r="E28" s="27">
        <v>7.06</v>
      </c>
      <c r="F28" s="5" t="s">
        <v>53</v>
      </c>
      <c r="G28" s="5" t="s">
        <v>53</v>
      </c>
      <c r="H28" s="6"/>
      <c r="I28" s="5"/>
      <c r="J28" s="5"/>
      <c r="K28" s="5"/>
      <c r="L28" s="6"/>
      <c r="M28" s="5"/>
      <c r="N28" s="5"/>
      <c r="O28" s="6"/>
      <c r="P28" s="5" t="s">
        <v>53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5" t="s">
        <v>53</v>
      </c>
      <c r="AD28" s="6"/>
      <c r="AE28" s="6"/>
      <c r="AF28" s="6"/>
      <c r="AG28" s="5" t="s">
        <v>53</v>
      </c>
      <c r="AH28" s="6"/>
      <c r="AI28" s="6"/>
      <c r="AJ28" s="6"/>
      <c r="AK28" s="6"/>
      <c r="AL28" s="6"/>
      <c r="AM28" s="6"/>
      <c r="AN28" s="3">
        <f t="shared" si="4"/>
        <v>5</v>
      </c>
      <c r="AO28" s="19">
        <f t="shared" si="5"/>
        <v>35.3</v>
      </c>
    </row>
    <row r="29">
      <c r="A29" s="30">
        <f>A28+3</f>
        <v>46062</v>
      </c>
      <c r="B29" s="4" t="s">
        <v>54</v>
      </c>
      <c r="C29" s="4" t="s">
        <v>58</v>
      </c>
      <c r="D29" s="26">
        <v>10.0</v>
      </c>
      <c r="E29" s="27">
        <v>10.02</v>
      </c>
      <c r="F29" s="6"/>
      <c r="G29" s="6"/>
      <c r="H29" s="5" t="s">
        <v>53</v>
      </c>
      <c r="I29" s="5" t="s">
        <v>53</v>
      </c>
      <c r="J29" s="5"/>
      <c r="K29" s="5"/>
      <c r="L29" s="6"/>
      <c r="M29" s="5"/>
      <c r="N29" s="5"/>
      <c r="O29" s="6"/>
      <c r="P29" s="6"/>
      <c r="Q29" s="6"/>
      <c r="R29" s="5" t="s">
        <v>53</v>
      </c>
      <c r="S29" s="5" t="s">
        <v>53</v>
      </c>
      <c r="T29" s="5"/>
      <c r="U29" s="6"/>
      <c r="V29" s="5" t="s">
        <v>53</v>
      </c>
      <c r="W29" s="6"/>
      <c r="X29" s="5" t="s">
        <v>53</v>
      </c>
      <c r="Y29" s="5" t="s">
        <v>53</v>
      </c>
      <c r="Z29" s="6"/>
      <c r="AA29" s="6"/>
      <c r="AB29" s="5" t="s">
        <v>53</v>
      </c>
      <c r="AC29" s="6"/>
      <c r="AD29" s="6"/>
      <c r="AE29" s="6"/>
      <c r="AF29" s="6"/>
      <c r="AG29" s="6"/>
      <c r="AH29" s="6"/>
      <c r="AI29" s="6"/>
      <c r="AJ29" s="6"/>
      <c r="AK29" s="5" t="s">
        <v>53</v>
      </c>
      <c r="AL29" s="5"/>
      <c r="AM29" s="5"/>
      <c r="AN29" s="3">
        <f t="shared" si="4"/>
        <v>9</v>
      </c>
      <c r="AO29" s="19">
        <f t="shared" si="5"/>
        <v>90.18</v>
      </c>
    </row>
    <row r="30">
      <c r="A30" s="28">
        <f t="shared" ref="A30:A31" si="11">A29+2</f>
        <v>46064</v>
      </c>
      <c r="B30" s="4" t="s">
        <v>56</v>
      </c>
      <c r="C30" s="4" t="s">
        <v>59</v>
      </c>
      <c r="D30" s="26">
        <v>8.0</v>
      </c>
      <c r="E30" s="27">
        <v>8.26</v>
      </c>
      <c r="F30" s="5" t="s">
        <v>53</v>
      </c>
      <c r="G30" s="5" t="s">
        <v>53</v>
      </c>
      <c r="H30" s="5" t="s">
        <v>53</v>
      </c>
      <c r="I30" s="5"/>
      <c r="J30" s="5"/>
      <c r="K30" s="5" t="s">
        <v>53</v>
      </c>
      <c r="L30" s="6"/>
      <c r="M30" s="5" t="s">
        <v>53</v>
      </c>
      <c r="N30" s="5" t="s">
        <v>53</v>
      </c>
      <c r="O30" s="6"/>
      <c r="P30" s="5" t="s">
        <v>53</v>
      </c>
      <c r="Q30" s="6"/>
      <c r="R30" s="6"/>
      <c r="S30" s="5" t="s">
        <v>53</v>
      </c>
      <c r="T30" s="5" t="s">
        <v>53</v>
      </c>
      <c r="U30" s="6"/>
      <c r="V30" s="5" t="s">
        <v>53</v>
      </c>
      <c r="W30" s="6"/>
      <c r="X30" s="6"/>
      <c r="Y30" s="5" t="s">
        <v>53</v>
      </c>
      <c r="Z30" s="6"/>
      <c r="AA30" s="6"/>
      <c r="AB30" s="5" t="s">
        <v>53</v>
      </c>
      <c r="AC30" s="6"/>
      <c r="AD30" s="6"/>
      <c r="AE30" s="6"/>
      <c r="AF30" s="6"/>
      <c r="AG30" s="5" t="s">
        <v>53</v>
      </c>
      <c r="AH30" s="5" t="s">
        <v>53</v>
      </c>
      <c r="AI30" s="5" t="s">
        <v>53</v>
      </c>
      <c r="AJ30" s="6"/>
      <c r="AK30" s="5" t="s">
        <v>53</v>
      </c>
      <c r="AL30" s="5"/>
      <c r="AM30" s="5">
        <v>1.0</v>
      </c>
      <c r="AN30" s="3">
        <f t="shared" si="4"/>
        <v>17</v>
      </c>
      <c r="AO30" s="19">
        <f t="shared" si="5"/>
        <v>140.42</v>
      </c>
    </row>
    <row r="31">
      <c r="A31" s="30">
        <f t="shared" si="11"/>
        <v>46066</v>
      </c>
      <c r="B31" s="4" t="s">
        <v>60</v>
      </c>
      <c r="C31" s="4" t="s">
        <v>61</v>
      </c>
      <c r="D31" s="26">
        <v>12.5</v>
      </c>
      <c r="E31" s="27">
        <v>12.47</v>
      </c>
      <c r="F31" s="5" t="s">
        <v>53</v>
      </c>
      <c r="G31" s="5" t="s">
        <v>53</v>
      </c>
      <c r="H31" s="5" t="s">
        <v>53</v>
      </c>
      <c r="I31" s="5" t="s">
        <v>53</v>
      </c>
      <c r="J31" s="5"/>
      <c r="K31" s="5"/>
      <c r="L31" s="6"/>
      <c r="M31" s="5"/>
      <c r="N31" s="5"/>
      <c r="O31" s="6"/>
      <c r="P31" s="5" t="s">
        <v>53</v>
      </c>
      <c r="Q31" s="6"/>
      <c r="R31" s="6"/>
      <c r="S31" s="6"/>
      <c r="T31" s="6"/>
      <c r="U31" s="6"/>
      <c r="V31" s="5" t="s">
        <v>53</v>
      </c>
      <c r="W31" s="6"/>
      <c r="X31" s="6"/>
      <c r="Y31" s="5" t="s">
        <v>53</v>
      </c>
      <c r="Z31" s="6"/>
      <c r="AA31" s="6"/>
      <c r="AB31" s="6"/>
      <c r="AC31" s="6"/>
      <c r="AD31" s="6"/>
      <c r="AE31" s="6"/>
      <c r="AF31" s="6"/>
      <c r="AG31" s="5" t="s">
        <v>53</v>
      </c>
      <c r="AH31" s="5" t="s">
        <v>53</v>
      </c>
      <c r="AI31" s="6"/>
      <c r="AJ31" s="6"/>
      <c r="AK31" s="6"/>
      <c r="AL31" s="6"/>
      <c r="AM31" s="5"/>
      <c r="AN31" s="3">
        <f t="shared" si="4"/>
        <v>9</v>
      </c>
      <c r="AO31" s="19">
        <f t="shared" si="5"/>
        <v>112.23</v>
      </c>
    </row>
    <row r="32">
      <c r="A32" s="30">
        <f>A31+3</f>
        <v>46069</v>
      </c>
      <c r="B32" s="4" t="s">
        <v>54</v>
      </c>
      <c r="C32" s="4" t="s">
        <v>59</v>
      </c>
      <c r="D32" s="26">
        <v>10.0</v>
      </c>
      <c r="E32" s="27">
        <v>9.0</v>
      </c>
      <c r="F32" s="6"/>
      <c r="G32" s="6"/>
      <c r="H32" s="6"/>
      <c r="I32" s="5" t="s">
        <v>53</v>
      </c>
      <c r="J32" s="5"/>
      <c r="K32" s="5"/>
      <c r="L32" s="6"/>
      <c r="M32" s="5"/>
      <c r="N32" s="5"/>
      <c r="O32" s="6"/>
      <c r="P32" s="6"/>
      <c r="Q32" s="6"/>
      <c r="R32" s="5" t="s">
        <v>53</v>
      </c>
      <c r="S32" s="6"/>
      <c r="T32" s="6"/>
      <c r="U32" s="6"/>
      <c r="V32" s="5" t="s">
        <v>53</v>
      </c>
      <c r="W32" s="6"/>
      <c r="X32" s="6"/>
      <c r="Y32" s="5" t="s">
        <v>53</v>
      </c>
      <c r="Z32" s="6"/>
      <c r="AA32" s="6"/>
      <c r="AB32" s="5" t="s">
        <v>53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3">
        <f t="shared" si="4"/>
        <v>5</v>
      </c>
      <c r="AO32" s="19">
        <f t="shared" si="5"/>
        <v>45</v>
      </c>
    </row>
    <row r="33">
      <c r="A33" s="28">
        <f t="shared" ref="A33:A34" si="12">A32+2</f>
        <v>46071</v>
      </c>
      <c r="B33" s="4" t="s">
        <v>56</v>
      </c>
      <c r="C33" s="4" t="s">
        <v>62</v>
      </c>
      <c r="D33" s="26">
        <v>12.5</v>
      </c>
      <c r="E33" s="27">
        <v>12.34</v>
      </c>
      <c r="F33" s="5" t="s">
        <v>53</v>
      </c>
      <c r="G33" s="5" t="s">
        <v>53</v>
      </c>
      <c r="H33" s="5" t="s">
        <v>53</v>
      </c>
      <c r="I33" s="5" t="s">
        <v>53</v>
      </c>
      <c r="J33" s="5"/>
      <c r="K33" s="5" t="s">
        <v>53</v>
      </c>
      <c r="L33" s="6"/>
      <c r="M33" s="5"/>
      <c r="N33" s="5"/>
      <c r="O33" s="6"/>
      <c r="P33" s="5" t="s">
        <v>53</v>
      </c>
      <c r="Q33" s="6"/>
      <c r="R33" s="6"/>
      <c r="S33" s="6"/>
      <c r="T33" s="6"/>
      <c r="U33" s="6"/>
      <c r="V33" s="5" t="s">
        <v>53</v>
      </c>
      <c r="W33" s="6"/>
      <c r="X33" s="6"/>
      <c r="Y33" s="5" t="s">
        <v>53</v>
      </c>
      <c r="Z33" s="6"/>
      <c r="AA33" s="6"/>
      <c r="AB33" s="5" t="s">
        <v>53</v>
      </c>
      <c r="AC33" s="6"/>
      <c r="AD33" s="6"/>
      <c r="AE33" s="6"/>
      <c r="AF33" s="6"/>
      <c r="AG33" s="5" t="s">
        <v>53</v>
      </c>
      <c r="AH33" s="6"/>
      <c r="AI33" s="6"/>
      <c r="AJ33" s="6"/>
      <c r="AK33" s="6"/>
      <c r="AL33" s="5" t="s">
        <v>53</v>
      </c>
      <c r="AM33" s="5">
        <v>1.0</v>
      </c>
      <c r="AN33" s="3">
        <f t="shared" si="4"/>
        <v>12</v>
      </c>
      <c r="AO33" s="19">
        <f t="shared" si="5"/>
        <v>148.08</v>
      </c>
    </row>
    <row r="34">
      <c r="A34" s="30">
        <f t="shared" si="12"/>
        <v>46073</v>
      </c>
      <c r="B34" s="4" t="s">
        <v>51</v>
      </c>
      <c r="C34" s="4" t="s">
        <v>52</v>
      </c>
      <c r="D34" s="26">
        <v>7.0</v>
      </c>
      <c r="E34" s="27">
        <v>7.05</v>
      </c>
      <c r="F34" s="5" t="s">
        <v>53</v>
      </c>
      <c r="G34" s="5" t="s">
        <v>53</v>
      </c>
      <c r="H34" s="5" t="s">
        <v>53</v>
      </c>
      <c r="I34" s="5"/>
      <c r="J34" s="5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5"/>
      <c r="AC34" s="6"/>
      <c r="AD34" s="6"/>
      <c r="AE34" s="6"/>
      <c r="AF34" s="6"/>
      <c r="AG34" s="5" t="s">
        <v>53</v>
      </c>
      <c r="AH34" s="6"/>
      <c r="AI34" s="6"/>
      <c r="AJ34" s="6"/>
      <c r="AK34" s="6"/>
      <c r="AL34" s="6"/>
      <c r="AM34" s="6"/>
      <c r="AN34" s="3">
        <f t="shared" si="4"/>
        <v>4</v>
      </c>
      <c r="AO34" s="19">
        <f t="shared" si="5"/>
        <v>28.2</v>
      </c>
    </row>
    <row r="35">
      <c r="A35" s="30">
        <f>A34+3</f>
        <v>46076</v>
      </c>
      <c r="B35" s="4" t="s">
        <v>54</v>
      </c>
      <c r="C35" s="4" t="s">
        <v>58</v>
      </c>
      <c r="D35" s="26">
        <v>10.0</v>
      </c>
      <c r="E35" s="27">
        <v>10.45</v>
      </c>
      <c r="F35" s="5" t="s">
        <v>53</v>
      </c>
      <c r="G35" s="6"/>
      <c r="H35" s="5" t="s">
        <v>53</v>
      </c>
      <c r="I35" s="5" t="s">
        <v>53</v>
      </c>
      <c r="J35" s="5"/>
      <c r="K35" s="5"/>
      <c r="L35" s="6"/>
      <c r="M35" s="5"/>
      <c r="N35" s="5"/>
      <c r="O35" s="6"/>
      <c r="P35" s="6"/>
      <c r="Q35" s="6"/>
      <c r="R35" s="5" t="s">
        <v>53</v>
      </c>
      <c r="S35" s="6"/>
      <c r="T35" s="6"/>
      <c r="U35" s="6"/>
      <c r="V35" s="5" t="s">
        <v>53</v>
      </c>
      <c r="W35" s="6"/>
      <c r="X35" s="6"/>
      <c r="Y35" s="5" t="s">
        <v>53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3">
        <f t="shared" si="4"/>
        <v>6</v>
      </c>
      <c r="AO35" s="19">
        <f t="shared" si="5"/>
        <v>62.7</v>
      </c>
    </row>
    <row r="36">
      <c r="A36" s="28">
        <f t="shared" ref="A36:A37" si="13">A35+2</f>
        <v>46078</v>
      </c>
      <c r="B36" s="4" t="s">
        <v>56</v>
      </c>
      <c r="C36" s="4" t="s">
        <v>59</v>
      </c>
      <c r="D36" s="26">
        <v>8.0</v>
      </c>
      <c r="E36" s="27">
        <v>8.03</v>
      </c>
      <c r="F36" s="5" t="s">
        <v>53</v>
      </c>
      <c r="G36" s="5" t="s">
        <v>53</v>
      </c>
      <c r="H36" s="5" t="s">
        <v>53</v>
      </c>
      <c r="I36" s="5" t="s">
        <v>53</v>
      </c>
      <c r="J36" s="5"/>
      <c r="K36" s="5" t="s">
        <v>53</v>
      </c>
      <c r="L36" s="5" t="s">
        <v>53</v>
      </c>
      <c r="M36" s="5" t="s">
        <v>53</v>
      </c>
      <c r="N36" s="5"/>
      <c r="O36" s="6"/>
      <c r="P36" s="5" t="s">
        <v>53</v>
      </c>
      <c r="Q36" s="6"/>
      <c r="R36" s="6"/>
      <c r="S36" s="6"/>
      <c r="T36" s="5" t="s">
        <v>53</v>
      </c>
      <c r="U36" s="6"/>
      <c r="V36" s="5" t="s">
        <v>53</v>
      </c>
      <c r="W36" s="6"/>
      <c r="X36" s="6"/>
      <c r="Y36" s="5" t="s">
        <v>53</v>
      </c>
      <c r="Z36" s="6"/>
      <c r="AA36" s="6"/>
      <c r="AB36" s="6"/>
      <c r="AC36" s="6"/>
      <c r="AD36" s="5" t="s">
        <v>53</v>
      </c>
      <c r="AE36" s="6"/>
      <c r="AF36" s="6"/>
      <c r="AG36" s="5" t="s">
        <v>53</v>
      </c>
      <c r="AH36" s="6"/>
      <c r="AI36" s="6"/>
      <c r="AJ36" s="6"/>
      <c r="AK36" s="5" t="s">
        <v>53</v>
      </c>
      <c r="AL36" s="5" t="s">
        <v>53</v>
      </c>
      <c r="AM36" s="5">
        <v>1.0</v>
      </c>
      <c r="AN36" s="3">
        <f t="shared" si="4"/>
        <v>16</v>
      </c>
      <c r="AO36" s="19">
        <f t="shared" si="5"/>
        <v>128.48</v>
      </c>
    </row>
    <row r="37">
      <c r="A37" s="30">
        <f t="shared" si="13"/>
        <v>46080</v>
      </c>
      <c r="B37" s="4" t="s">
        <v>51</v>
      </c>
      <c r="C37" s="4" t="s">
        <v>52</v>
      </c>
      <c r="D37" s="26">
        <v>7.0</v>
      </c>
      <c r="E37" s="27">
        <v>7.08</v>
      </c>
      <c r="F37" s="6"/>
      <c r="G37" s="5" t="s">
        <v>53</v>
      </c>
      <c r="H37" s="6"/>
      <c r="I37" s="6"/>
      <c r="J37" s="6"/>
      <c r="K37" s="5"/>
      <c r="L37" s="5" t="s">
        <v>53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5" t="s">
        <v>53</v>
      </c>
      <c r="AD37" s="6"/>
      <c r="AE37" s="6"/>
      <c r="AF37" s="6"/>
      <c r="AG37" s="5" t="s">
        <v>53</v>
      </c>
      <c r="AH37" s="6"/>
      <c r="AI37" s="6"/>
      <c r="AJ37" s="6"/>
      <c r="AK37" s="6"/>
      <c r="AL37" s="6"/>
      <c r="AM37" s="6"/>
      <c r="AN37" s="3">
        <f t="shared" si="4"/>
        <v>4</v>
      </c>
      <c r="AO37" s="19">
        <f t="shared" si="5"/>
        <v>28.32</v>
      </c>
    </row>
    <row r="38">
      <c r="A38" s="30">
        <f>A37+3</f>
        <v>46083</v>
      </c>
      <c r="B38" s="4" t="s">
        <v>54</v>
      </c>
      <c r="C38" s="4" t="s">
        <v>59</v>
      </c>
      <c r="D38" s="26">
        <v>10.0</v>
      </c>
      <c r="E38" s="27">
        <v>10.0</v>
      </c>
      <c r="F38" s="6"/>
      <c r="G38" s="5" t="s">
        <v>53</v>
      </c>
      <c r="H38" s="5" t="s">
        <v>53</v>
      </c>
      <c r="I38" s="5" t="s">
        <v>53</v>
      </c>
      <c r="J38" s="6"/>
      <c r="K38" s="5"/>
      <c r="L38" s="6"/>
      <c r="M38" s="5"/>
      <c r="N38" s="5"/>
      <c r="O38" s="6"/>
      <c r="P38" s="6"/>
      <c r="Q38" s="6"/>
      <c r="R38" s="5" t="s">
        <v>53</v>
      </c>
      <c r="S38" s="6"/>
      <c r="T38" s="6"/>
      <c r="U38" s="6"/>
      <c r="V38" s="5" t="s">
        <v>53</v>
      </c>
      <c r="W38" s="6"/>
      <c r="X38" s="5" t="s">
        <v>53</v>
      </c>
      <c r="Y38" s="5" t="s">
        <v>53</v>
      </c>
      <c r="Z38" s="6"/>
      <c r="AA38" s="6"/>
      <c r="AB38" s="5"/>
      <c r="AC38" s="6"/>
      <c r="AD38" s="6"/>
      <c r="AE38" s="6"/>
      <c r="AF38" s="6"/>
      <c r="AG38" s="5" t="s">
        <v>53</v>
      </c>
      <c r="AH38" s="6"/>
      <c r="AI38" s="6"/>
      <c r="AJ38" s="6"/>
      <c r="AK38" s="5" t="s">
        <v>53</v>
      </c>
      <c r="AL38" s="6"/>
      <c r="AM38" s="6"/>
      <c r="AN38" s="3">
        <f t="shared" si="4"/>
        <v>9</v>
      </c>
      <c r="AO38" s="19">
        <f t="shared" si="5"/>
        <v>90</v>
      </c>
    </row>
    <row r="39">
      <c r="A39" s="28">
        <f t="shared" ref="A39:A40" si="14">A38+2</f>
        <v>46085</v>
      </c>
      <c r="B39" s="4" t="s">
        <v>56</v>
      </c>
      <c r="C39" s="4" t="s">
        <v>57</v>
      </c>
      <c r="D39" s="26">
        <v>8.0</v>
      </c>
      <c r="E39" s="27">
        <v>8.0</v>
      </c>
      <c r="F39" s="5" t="s">
        <v>53</v>
      </c>
      <c r="G39" s="5" t="s">
        <v>53</v>
      </c>
      <c r="H39" s="5" t="s">
        <v>53</v>
      </c>
      <c r="I39" s="5" t="s">
        <v>53</v>
      </c>
      <c r="J39" s="6"/>
      <c r="K39" s="5"/>
      <c r="L39" s="5" t="s">
        <v>53</v>
      </c>
      <c r="M39" s="5" t="s">
        <v>53</v>
      </c>
      <c r="N39" s="5" t="s">
        <v>53</v>
      </c>
      <c r="O39" s="6"/>
      <c r="P39" s="5" t="s">
        <v>53</v>
      </c>
      <c r="Q39" s="6"/>
      <c r="R39" s="6"/>
      <c r="S39" s="5" t="s">
        <v>53</v>
      </c>
      <c r="T39" s="5" t="s">
        <v>53</v>
      </c>
      <c r="U39" s="6"/>
      <c r="V39" s="5" t="s">
        <v>53</v>
      </c>
      <c r="W39" s="6"/>
      <c r="X39" s="6"/>
      <c r="Y39" s="5" t="s">
        <v>53</v>
      </c>
      <c r="Z39" s="6"/>
      <c r="AA39" s="6"/>
      <c r="AB39" s="5"/>
      <c r="AC39" s="6"/>
      <c r="AD39" s="6"/>
      <c r="AE39" s="6"/>
      <c r="AF39" s="6"/>
      <c r="AG39" s="5" t="s">
        <v>53</v>
      </c>
      <c r="AH39" s="6"/>
      <c r="AI39" s="6"/>
      <c r="AJ39" s="6"/>
      <c r="AK39" s="5" t="s">
        <v>53</v>
      </c>
      <c r="AL39" s="5" t="s">
        <v>53</v>
      </c>
      <c r="AM39" s="5"/>
      <c r="AN39" s="3">
        <f t="shared" si="4"/>
        <v>15</v>
      </c>
      <c r="AO39" s="19">
        <f t="shared" si="5"/>
        <v>120</v>
      </c>
    </row>
    <row r="40">
      <c r="A40" s="30">
        <f t="shared" si="14"/>
        <v>46087</v>
      </c>
      <c r="B40" s="4" t="s">
        <v>51</v>
      </c>
      <c r="C40" s="4" t="s">
        <v>52</v>
      </c>
      <c r="D40" s="26">
        <v>7.0</v>
      </c>
      <c r="E40" s="27">
        <v>7.07</v>
      </c>
      <c r="F40" s="5" t="s">
        <v>53</v>
      </c>
      <c r="G40" s="6"/>
      <c r="H40" s="6"/>
      <c r="I40" s="6"/>
      <c r="J40" s="6"/>
      <c r="K40" s="5"/>
      <c r="L40" s="5" t="s">
        <v>53</v>
      </c>
      <c r="M40" s="5"/>
      <c r="N40" s="5"/>
      <c r="O40" s="6"/>
      <c r="P40" s="5" t="s">
        <v>53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5"/>
      <c r="AC40" s="6"/>
      <c r="AD40" s="6"/>
      <c r="AE40" s="6"/>
      <c r="AF40" s="6"/>
      <c r="AG40" s="5" t="s">
        <v>53</v>
      </c>
      <c r="AH40" s="6"/>
      <c r="AI40" s="6"/>
      <c r="AJ40" s="6"/>
      <c r="AK40" s="6"/>
      <c r="AL40" s="6"/>
      <c r="AM40" s="6"/>
      <c r="AN40" s="3">
        <f t="shared" si="4"/>
        <v>4</v>
      </c>
      <c r="AO40" s="19">
        <f t="shared" si="5"/>
        <v>28.28</v>
      </c>
    </row>
    <row r="41">
      <c r="A41" s="30">
        <f>A40+3</f>
        <v>46090</v>
      </c>
      <c r="B41" s="4" t="s">
        <v>54</v>
      </c>
      <c r="C41" s="4" t="s">
        <v>58</v>
      </c>
      <c r="D41" s="26">
        <v>10.0</v>
      </c>
      <c r="E41" s="27">
        <v>10.5</v>
      </c>
      <c r="F41" s="6"/>
      <c r="G41" s="6"/>
      <c r="H41" s="6"/>
      <c r="I41" s="5" t="s">
        <v>53</v>
      </c>
      <c r="J41" s="6"/>
      <c r="K41" s="5"/>
      <c r="L41" s="6"/>
      <c r="M41" s="5"/>
      <c r="N41" s="5"/>
      <c r="O41" s="6"/>
      <c r="P41" s="6"/>
      <c r="Q41" s="6"/>
      <c r="R41" s="5" t="s">
        <v>53</v>
      </c>
      <c r="S41" s="5" t="s">
        <v>53</v>
      </c>
      <c r="T41" s="5"/>
      <c r="U41" s="6"/>
      <c r="V41" s="5" t="s">
        <v>53</v>
      </c>
      <c r="W41" s="6"/>
      <c r="X41" s="6"/>
      <c r="Y41" s="5" t="s">
        <v>53</v>
      </c>
      <c r="Z41" s="6"/>
      <c r="AA41" s="6"/>
      <c r="AB41" s="5" t="s">
        <v>53</v>
      </c>
      <c r="AC41" s="6"/>
      <c r="AD41" s="6"/>
      <c r="AE41" s="6"/>
      <c r="AF41" s="6"/>
      <c r="AG41" s="6"/>
      <c r="AH41" s="6"/>
      <c r="AI41" s="6"/>
      <c r="AJ41" s="6"/>
      <c r="AK41" s="6"/>
      <c r="AL41" s="5"/>
      <c r="AM41" s="6"/>
      <c r="AN41" s="3">
        <f t="shared" si="4"/>
        <v>6</v>
      </c>
      <c r="AO41" s="19">
        <f t="shared" si="5"/>
        <v>63</v>
      </c>
    </row>
    <row r="42">
      <c r="A42" s="28">
        <f t="shared" ref="A42:A43" si="15">A41+2</f>
        <v>46092</v>
      </c>
      <c r="B42" s="4" t="s">
        <v>56</v>
      </c>
      <c r="C42" s="4" t="s">
        <v>59</v>
      </c>
      <c r="D42" s="26">
        <v>8.0</v>
      </c>
      <c r="E42" s="27">
        <v>8.67</v>
      </c>
      <c r="F42" s="5" t="s">
        <v>53</v>
      </c>
      <c r="G42" s="5" t="s">
        <v>53</v>
      </c>
      <c r="H42" s="5" t="s">
        <v>53</v>
      </c>
      <c r="I42" s="6"/>
      <c r="J42" s="6"/>
      <c r="K42" s="5"/>
      <c r="L42" s="5" t="s">
        <v>53</v>
      </c>
      <c r="M42" s="5"/>
      <c r="N42" s="5"/>
      <c r="O42" s="6"/>
      <c r="P42" s="5" t="s">
        <v>53</v>
      </c>
      <c r="Q42" s="6"/>
      <c r="R42" s="6"/>
      <c r="S42" s="5" t="s">
        <v>53</v>
      </c>
      <c r="T42" s="5"/>
      <c r="U42" s="6"/>
      <c r="V42" s="5" t="s">
        <v>53</v>
      </c>
      <c r="W42" s="6"/>
      <c r="X42" s="6"/>
      <c r="Y42" s="5" t="s">
        <v>53</v>
      </c>
      <c r="Z42" s="6"/>
      <c r="AA42" s="6"/>
      <c r="AB42" s="5"/>
      <c r="AC42" s="6"/>
      <c r="AD42" s="6"/>
      <c r="AE42" s="6"/>
      <c r="AF42" s="6"/>
      <c r="AG42" s="5" t="s">
        <v>53</v>
      </c>
      <c r="AH42" s="6"/>
      <c r="AI42" s="5" t="s">
        <v>53</v>
      </c>
      <c r="AJ42" s="6"/>
      <c r="AK42" s="5" t="s">
        <v>53</v>
      </c>
      <c r="AL42" s="5" t="s">
        <v>53</v>
      </c>
      <c r="AM42" s="5"/>
      <c r="AN42" s="3">
        <f t="shared" si="4"/>
        <v>12</v>
      </c>
      <c r="AO42" s="19">
        <f t="shared" si="5"/>
        <v>104.04</v>
      </c>
    </row>
    <row r="43">
      <c r="A43" s="30">
        <f t="shared" si="15"/>
        <v>46094</v>
      </c>
      <c r="B43" s="4" t="s">
        <v>51</v>
      </c>
      <c r="C43" s="4" t="s">
        <v>61</v>
      </c>
      <c r="D43" s="26">
        <v>12.5</v>
      </c>
      <c r="E43" s="27">
        <v>12.49</v>
      </c>
      <c r="F43" s="5" t="s">
        <v>53</v>
      </c>
      <c r="G43" s="5" t="s">
        <v>53</v>
      </c>
      <c r="H43" s="5" t="s">
        <v>53</v>
      </c>
      <c r="I43" s="5" t="s">
        <v>53</v>
      </c>
      <c r="J43" s="6"/>
      <c r="K43" s="5"/>
      <c r="L43" s="5" t="s">
        <v>53</v>
      </c>
      <c r="M43" s="5"/>
      <c r="N43" s="5"/>
      <c r="O43" s="6"/>
      <c r="P43" s="5" t="s">
        <v>53</v>
      </c>
      <c r="Q43" s="6"/>
      <c r="R43" s="6"/>
      <c r="S43" s="6"/>
      <c r="T43" s="6"/>
      <c r="U43" s="6"/>
      <c r="V43" s="6"/>
      <c r="W43" s="6"/>
      <c r="X43" s="6"/>
      <c r="Y43" s="5" t="s">
        <v>53</v>
      </c>
      <c r="Z43" s="6"/>
      <c r="AA43" s="6"/>
      <c r="AB43" s="5"/>
      <c r="AC43" s="6"/>
      <c r="AD43" s="6"/>
      <c r="AE43" s="6"/>
      <c r="AF43" s="6"/>
      <c r="AG43" s="5" t="s">
        <v>53</v>
      </c>
      <c r="AH43" s="6"/>
      <c r="AI43" s="6"/>
      <c r="AJ43" s="6"/>
      <c r="AK43" s="5" t="s">
        <v>53</v>
      </c>
      <c r="AL43" s="6"/>
      <c r="AM43" s="6"/>
      <c r="AN43" s="3">
        <f t="shared" si="4"/>
        <v>9</v>
      </c>
      <c r="AO43" s="19">
        <f t="shared" si="5"/>
        <v>112.41</v>
      </c>
    </row>
    <row r="44">
      <c r="A44" s="30">
        <f>A43+3</f>
        <v>46097</v>
      </c>
      <c r="B44" s="4" t="s">
        <v>54</v>
      </c>
      <c r="C44" s="4" t="s">
        <v>59</v>
      </c>
      <c r="D44" s="26">
        <v>10.0</v>
      </c>
      <c r="E44" s="27">
        <v>10.0</v>
      </c>
      <c r="F44" s="6"/>
      <c r="G44" s="6"/>
      <c r="H44" s="5" t="s">
        <v>53</v>
      </c>
      <c r="I44" s="5" t="s">
        <v>53</v>
      </c>
      <c r="J44" s="6"/>
      <c r="K44" s="5"/>
      <c r="L44" s="6"/>
      <c r="M44" s="5"/>
      <c r="N44" s="5"/>
      <c r="O44" s="6"/>
      <c r="P44" s="6"/>
      <c r="Q44" s="6"/>
      <c r="R44" s="5" t="s">
        <v>53</v>
      </c>
      <c r="S44" s="5" t="s">
        <v>53</v>
      </c>
      <c r="T44" s="5"/>
      <c r="U44" s="6"/>
      <c r="V44" s="5" t="s">
        <v>53</v>
      </c>
      <c r="W44" s="6"/>
      <c r="X44" s="6"/>
      <c r="Y44" s="5" t="s">
        <v>53</v>
      </c>
      <c r="Z44" s="6"/>
      <c r="AA44" s="6"/>
      <c r="AB44" s="5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3">
        <f t="shared" si="4"/>
        <v>6</v>
      </c>
      <c r="AO44" s="19">
        <f t="shared" si="5"/>
        <v>60</v>
      </c>
    </row>
    <row r="45">
      <c r="A45" s="28">
        <f t="shared" ref="A45:A46" si="16">A44+2</f>
        <v>46099</v>
      </c>
      <c r="B45" s="4" t="s">
        <v>56</v>
      </c>
      <c r="C45" s="4" t="s">
        <v>62</v>
      </c>
      <c r="D45" s="26">
        <v>12.5</v>
      </c>
      <c r="E45" s="27">
        <v>12.35</v>
      </c>
      <c r="F45" s="5" t="s">
        <v>53</v>
      </c>
      <c r="G45" s="5" t="s">
        <v>53</v>
      </c>
      <c r="H45" s="5" t="s">
        <v>53</v>
      </c>
      <c r="I45" s="6"/>
      <c r="J45" s="6"/>
      <c r="K45" s="5"/>
      <c r="L45" s="5" t="s">
        <v>53</v>
      </c>
      <c r="M45" s="5"/>
      <c r="N45" s="5"/>
      <c r="O45" s="6"/>
      <c r="P45" s="5" t="s">
        <v>53</v>
      </c>
      <c r="Q45" s="5" t="s">
        <v>53</v>
      </c>
      <c r="R45" s="6"/>
      <c r="S45" s="5" t="s">
        <v>53</v>
      </c>
      <c r="T45" s="5"/>
      <c r="U45" s="6"/>
      <c r="V45" s="5" t="s">
        <v>53</v>
      </c>
      <c r="W45" s="6"/>
      <c r="X45" s="6"/>
      <c r="Y45" s="5" t="s">
        <v>53</v>
      </c>
      <c r="Z45" s="6"/>
      <c r="AA45" s="6"/>
      <c r="AB45" s="5"/>
      <c r="AC45" s="6"/>
      <c r="AD45" s="6"/>
      <c r="AE45" s="6"/>
      <c r="AF45" s="6"/>
      <c r="AG45" s="5" t="s">
        <v>53</v>
      </c>
      <c r="AH45" s="6"/>
      <c r="AI45" s="6"/>
      <c r="AJ45" s="6"/>
      <c r="AK45" s="5" t="s">
        <v>53</v>
      </c>
      <c r="AL45" s="6"/>
      <c r="AM45" s="5">
        <v>1.0</v>
      </c>
      <c r="AN45" s="3">
        <f t="shared" si="4"/>
        <v>12</v>
      </c>
      <c r="AO45" s="19">
        <f t="shared" si="5"/>
        <v>148.2</v>
      </c>
    </row>
    <row r="46">
      <c r="A46" s="30">
        <f t="shared" si="16"/>
        <v>46101</v>
      </c>
      <c r="B46" s="4" t="s">
        <v>60</v>
      </c>
      <c r="C46" s="4" t="s">
        <v>52</v>
      </c>
      <c r="D46" s="26">
        <v>7.0</v>
      </c>
      <c r="E46" s="27">
        <v>7.04</v>
      </c>
      <c r="F46" s="5" t="s">
        <v>53</v>
      </c>
      <c r="G46" s="5" t="s">
        <v>53</v>
      </c>
      <c r="H46" s="6"/>
      <c r="I46" s="6"/>
      <c r="J46" s="6"/>
      <c r="K46" s="5"/>
      <c r="L46" s="5" t="s">
        <v>53</v>
      </c>
      <c r="M46" s="5"/>
      <c r="N46" s="5"/>
      <c r="O46" s="6"/>
      <c r="P46" s="5" t="s">
        <v>53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5" t="s">
        <v>53</v>
      </c>
      <c r="AH46" s="6"/>
      <c r="AI46" s="6"/>
      <c r="AJ46" s="6"/>
      <c r="AK46" s="6"/>
      <c r="AL46" s="6"/>
      <c r="AM46" s="6"/>
      <c r="AN46" s="3">
        <f t="shared" si="4"/>
        <v>5</v>
      </c>
      <c r="AO46" s="19">
        <f t="shared" si="5"/>
        <v>35.2</v>
      </c>
    </row>
    <row r="47">
      <c r="A47" s="30">
        <f>A46+3</f>
        <v>46104</v>
      </c>
      <c r="B47" s="4" t="s">
        <v>54</v>
      </c>
      <c r="C47" s="4" t="s">
        <v>58</v>
      </c>
      <c r="D47" s="26">
        <v>10.0</v>
      </c>
      <c r="E47" s="27">
        <v>10.0</v>
      </c>
      <c r="F47" s="6"/>
      <c r="G47" s="6"/>
      <c r="H47" s="5" t="s">
        <v>53</v>
      </c>
      <c r="I47" s="5" t="s">
        <v>53</v>
      </c>
      <c r="J47" s="6"/>
      <c r="K47" s="5"/>
      <c r="L47" s="6"/>
      <c r="M47" s="5"/>
      <c r="N47" s="5"/>
      <c r="O47" s="6"/>
      <c r="P47" s="6"/>
      <c r="Q47" s="6"/>
      <c r="R47" s="5" t="s">
        <v>53</v>
      </c>
      <c r="S47" s="6"/>
      <c r="T47" s="6"/>
      <c r="U47" s="6"/>
      <c r="V47" s="5" t="s">
        <v>53</v>
      </c>
      <c r="W47" s="6"/>
      <c r="X47" s="6"/>
      <c r="Y47" s="5" t="s">
        <v>53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3">
        <f t="shared" si="4"/>
        <v>5</v>
      </c>
      <c r="AO47" s="19">
        <f t="shared" si="5"/>
        <v>50</v>
      </c>
    </row>
    <row r="48">
      <c r="A48" s="28">
        <f t="shared" ref="A48:A49" si="17">A47+2</f>
        <v>46106</v>
      </c>
      <c r="B48" s="4" t="s">
        <v>56</v>
      </c>
      <c r="C48" s="4" t="s">
        <v>59</v>
      </c>
      <c r="D48" s="26">
        <v>8.0</v>
      </c>
      <c r="E48" s="27">
        <v>9.01</v>
      </c>
      <c r="F48" s="5" t="s">
        <v>53</v>
      </c>
      <c r="G48" s="5" t="s">
        <v>53</v>
      </c>
      <c r="H48" s="6"/>
      <c r="I48" s="6"/>
      <c r="J48" s="6"/>
      <c r="K48" s="5" t="s">
        <v>53</v>
      </c>
      <c r="L48" s="5" t="s">
        <v>53</v>
      </c>
      <c r="M48" s="5" t="s">
        <v>53</v>
      </c>
      <c r="N48" s="5" t="s">
        <v>53</v>
      </c>
      <c r="O48" s="6"/>
      <c r="P48" s="5" t="s">
        <v>53</v>
      </c>
      <c r="Q48" s="5" t="s">
        <v>53</v>
      </c>
      <c r="R48" s="6"/>
      <c r="S48" s="6"/>
      <c r="T48" s="5" t="s">
        <v>53</v>
      </c>
      <c r="U48" s="6"/>
      <c r="V48" s="5" t="s">
        <v>53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5" t="s">
        <v>53</v>
      </c>
      <c r="AH48" s="6"/>
      <c r="AI48" s="6"/>
      <c r="AJ48" s="6"/>
      <c r="AK48" s="5" t="s">
        <v>53</v>
      </c>
      <c r="AL48" s="5" t="s">
        <v>53</v>
      </c>
      <c r="AM48" s="5"/>
      <c r="AN48" s="3">
        <f t="shared" si="4"/>
        <v>13</v>
      </c>
      <c r="AO48" s="19">
        <f t="shared" si="5"/>
        <v>117.13</v>
      </c>
    </row>
    <row r="49">
      <c r="A49" s="30">
        <f t="shared" si="17"/>
        <v>46108</v>
      </c>
      <c r="B49" s="4" t="s">
        <v>51</v>
      </c>
      <c r="C49" s="4" t="s">
        <v>52</v>
      </c>
      <c r="D49" s="26">
        <v>7.0</v>
      </c>
      <c r="E49" s="27">
        <v>7.03</v>
      </c>
      <c r="F49" s="5" t="s">
        <v>53</v>
      </c>
      <c r="G49" s="6"/>
      <c r="H49" s="6"/>
      <c r="I49" s="6"/>
      <c r="J49" s="6"/>
      <c r="K49" s="5"/>
      <c r="L49" s="5" t="s">
        <v>53</v>
      </c>
      <c r="M49" s="6"/>
      <c r="N49" s="6"/>
      <c r="O49" s="6"/>
      <c r="P49" s="5" t="s">
        <v>53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5" t="s">
        <v>53</v>
      </c>
      <c r="AH49" s="6"/>
      <c r="AI49" s="6"/>
      <c r="AJ49" s="6"/>
      <c r="AK49" s="6"/>
      <c r="AL49" s="6"/>
      <c r="AM49" s="6"/>
      <c r="AN49" s="3">
        <f t="shared" si="4"/>
        <v>4</v>
      </c>
      <c r="AO49" s="19">
        <f t="shared" si="5"/>
        <v>28.12</v>
      </c>
    </row>
    <row r="50">
      <c r="A50" s="30">
        <f>A49+3</f>
        <v>46111</v>
      </c>
      <c r="B50" s="4" t="s">
        <v>54</v>
      </c>
      <c r="C50" s="4" t="s">
        <v>59</v>
      </c>
      <c r="D50" s="26">
        <v>10.0</v>
      </c>
      <c r="E50" s="27">
        <v>10.0</v>
      </c>
      <c r="F50" s="6"/>
      <c r="G50" s="6"/>
      <c r="H50" s="6"/>
      <c r="I50" s="5" t="s">
        <v>53</v>
      </c>
      <c r="J50" s="6"/>
      <c r="K50" s="5"/>
      <c r="L50" s="6"/>
      <c r="M50" s="6"/>
      <c r="N50" s="6"/>
      <c r="O50" s="6"/>
      <c r="P50" s="6"/>
      <c r="Q50" s="6"/>
      <c r="R50" s="5" t="s">
        <v>53</v>
      </c>
      <c r="S50" s="5" t="s">
        <v>53</v>
      </c>
      <c r="T50" s="5"/>
      <c r="U50" s="6"/>
      <c r="V50" s="5" t="s">
        <v>53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3">
        <f t="shared" si="4"/>
        <v>4</v>
      </c>
      <c r="AO50" s="19">
        <f t="shared" si="5"/>
        <v>40</v>
      </c>
    </row>
    <row r="51">
      <c r="A51" s="28">
        <f t="shared" ref="A51:A52" si="18">A50+2</f>
        <v>46113</v>
      </c>
      <c r="B51" s="4" t="s">
        <v>56</v>
      </c>
      <c r="C51" s="4" t="s">
        <v>57</v>
      </c>
      <c r="D51" s="26">
        <v>8.0</v>
      </c>
      <c r="E51" s="27">
        <v>8.01</v>
      </c>
      <c r="F51" s="5" t="s">
        <v>53</v>
      </c>
      <c r="G51" s="5" t="s">
        <v>53</v>
      </c>
      <c r="H51" s="5" t="s">
        <v>53</v>
      </c>
      <c r="I51" s="5" t="s">
        <v>53</v>
      </c>
      <c r="J51" s="6"/>
      <c r="K51" s="5" t="s">
        <v>53</v>
      </c>
      <c r="L51" s="5" t="s">
        <v>53</v>
      </c>
      <c r="M51" s="5" t="s">
        <v>53</v>
      </c>
      <c r="N51" s="5" t="s">
        <v>53</v>
      </c>
      <c r="O51" s="5" t="s">
        <v>53</v>
      </c>
      <c r="P51" s="5" t="s">
        <v>53</v>
      </c>
      <c r="Q51" s="5" t="s">
        <v>53</v>
      </c>
      <c r="R51" s="6"/>
      <c r="S51" s="5" t="s">
        <v>53</v>
      </c>
      <c r="T51" s="5"/>
      <c r="U51" s="6"/>
      <c r="V51" s="5" t="s">
        <v>53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5" t="s">
        <v>53</v>
      </c>
      <c r="AH51" s="6"/>
      <c r="AI51" s="6"/>
      <c r="AJ51" s="6"/>
      <c r="AK51" s="5" t="s">
        <v>53</v>
      </c>
      <c r="AL51" s="5" t="s">
        <v>53</v>
      </c>
      <c r="AM51" s="5">
        <v>1.0</v>
      </c>
      <c r="AN51" s="3">
        <f t="shared" si="4"/>
        <v>17</v>
      </c>
      <c r="AO51" s="19">
        <f t="shared" si="5"/>
        <v>136.17</v>
      </c>
    </row>
    <row r="52">
      <c r="A52" s="32">
        <f t="shared" si="18"/>
        <v>46115</v>
      </c>
      <c r="B52" s="4" t="s">
        <v>65</v>
      </c>
      <c r="C52" s="4" t="s">
        <v>66</v>
      </c>
      <c r="D52" s="33">
        <v>13.0</v>
      </c>
      <c r="E52" s="27">
        <v>12.93</v>
      </c>
      <c r="F52" s="5" t="s">
        <v>53</v>
      </c>
      <c r="G52" s="6"/>
      <c r="H52" s="5" t="s">
        <v>53</v>
      </c>
      <c r="I52" s="6"/>
      <c r="J52" s="6"/>
      <c r="K52" s="5"/>
      <c r="L52" s="5" t="s">
        <v>53</v>
      </c>
      <c r="M52" s="6"/>
      <c r="N52" s="6"/>
      <c r="O52" s="6"/>
      <c r="P52" s="5" t="s">
        <v>53</v>
      </c>
      <c r="Q52" s="6"/>
      <c r="R52" s="5" t="s">
        <v>53</v>
      </c>
      <c r="S52" s="5" t="s">
        <v>53</v>
      </c>
      <c r="T52" s="5"/>
      <c r="U52" s="6"/>
      <c r="V52" s="5" t="s">
        <v>53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5" t="s">
        <v>53</v>
      </c>
      <c r="AH52" s="5" t="s">
        <v>53</v>
      </c>
      <c r="AI52" s="6"/>
      <c r="AJ52" s="6"/>
      <c r="AK52" s="5" t="s">
        <v>53</v>
      </c>
      <c r="AL52" s="6"/>
      <c r="AM52" s="5"/>
      <c r="AN52" s="3">
        <f t="shared" si="4"/>
        <v>10</v>
      </c>
      <c r="AO52" s="19">
        <f t="shared" si="5"/>
        <v>129.3</v>
      </c>
    </row>
    <row r="53">
      <c r="A53" s="32">
        <f>A52+3</f>
        <v>46118</v>
      </c>
      <c r="B53" s="4" t="s">
        <v>54</v>
      </c>
      <c r="C53" s="4" t="s">
        <v>58</v>
      </c>
      <c r="D53" s="26">
        <v>10.0</v>
      </c>
      <c r="E53" s="27">
        <v>10.45</v>
      </c>
      <c r="F53" s="6"/>
      <c r="G53" s="6"/>
      <c r="H53" s="6"/>
      <c r="I53" s="5" t="s">
        <v>53</v>
      </c>
      <c r="J53" s="6"/>
      <c r="K53" s="5"/>
      <c r="L53" s="6"/>
      <c r="M53" s="6"/>
      <c r="N53" s="6"/>
      <c r="O53" s="6"/>
      <c r="P53" s="5" t="s">
        <v>53</v>
      </c>
      <c r="Q53" s="6"/>
      <c r="R53" s="6"/>
      <c r="S53" s="6"/>
      <c r="T53" s="6"/>
      <c r="U53" s="6"/>
      <c r="V53" s="5" t="s">
        <v>53</v>
      </c>
      <c r="W53" s="6"/>
      <c r="X53" s="6"/>
      <c r="Y53" s="5" t="s">
        <v>53</v>
      </c>
      <c r="Z53" s="6"/>
      <c r="AA53" s="6"/>
      <c r="AB53" s="6"/>
      <c r="AC53" s="6"/>
      <c r="AD53" s="6"/>
      <c r="AE53" s="6"/>
      <c r="AF53" s="6"/>
      <c r="AG53" s="5" t="s">
        <v>53</v>
      </c>
      <c r="AH53" s="6"/>
      <c r="AI53" s="6"/>
      <c r="AJ53" s="6"/>
      <c r="AK53" s="6"/>
      <c r="AL53" s="6"/>
      <c r="AM53" s="5">
        <v>1.0</v>
      </c>
      <c r="AN53" s="3">
        <f t="shared" si="4"/>
        <v>6</v>
      </c>
      <c r="AO53" s="19">
        <f t="shared" si="5"/>
        <v>62.7</v>
      </c>
    </row>
    <row r="54">
      <c r="A54" s="28">
        <f t="shared" ref="A54:A55" si="19">A53+2</f>
        <v>46120</v>
      </c>
      <c r="B54" s="4" t="s">
        <v>56</v>
      </c>
      <c r="C54" s="4" t="s">
        <v>59</v>
      </c>
      <c r="D54" s="26">
        <v>8.0</v>
      </c>
      <c r="E54" s="27">
        <v>8.89</v>
      </c>
      <c r="F54" s="5" t="s">
        <v>53</v>
      </c>
      <c r="G54" s="5" t="s">
        <v>53</v>
      </c>
      <c r="H54" s="5" t="s">
        <v>53</v>
      </c>
      <c r="I54" s="6"/>
      <c r="J54" s="6"/>
      <c r="K54" s="5" t="s">
        <v>53</v>
      </c>
      <c r="L54" s="5" t="s">
        <v>53</v>
      </c>
      <c r="M54" s="5" t="s">
        <v>53</v>
      </c>
      <c r="N54" s="5" t="s">
        <v>53</v>
      </c>
      <c r="O54" s="6"/>
      <c r="P54" s="5" t="s">
        <v>53</v>
      </c>
      <c r="Q54" s="5" t="s">
        <v>53</v>
      </c>
      <c r="R54" s="6"/>
      <c r="S54" s="5" t="s">
        <v>53</v>
      </c>
      <c r="T54" s="5"/>
      <c r="U54" s="6"/>
      <c r="V54" s="5" t="s">
        <v>53</v>
      </c>
      <c r="W54" s="6"/>
      <c r="X54" s="6"/>
      <c r="Y54" s="5" t="s">
        <v>53</v>
      </c>
      <c r="Z54" s="6"/>
      <c r="AA54" s="6"/>
      <c r="AB54" s="6"/>
      <c r="AC54" s="6"/>
      <c r="AD54" s="6"/>
      <c r="AE54" s="6"/>
      <c r="AF54" s="6"/>
      <c r="AG54" s="5" t="s">
        <v>53</v>
      </c>
      <c r="AH54" s="6"/>
      <c r="AI54" s="6"/>
      <c r="AJ54" s="6"/>
      <c r="AK54" s="5" t="s">
        <v>53</v>
      </c>
      <c r="AL54" s="5" t="s">
        <v>53</v>
      </c>
      <c r="AM54" s="6"/>
      <c r="AN54" s="3">
        <f t="shared" si="4"/>
        <v>15</v>
      </c>
      <c r="AO54" s="19">
        <f t="shared" si="5"/>
        <v>133.35</v>
      </c>
    </row>
    <row r="55">
      <c r="A55" s="30">
        <f t="shared" si="19"/>
        <v>46122</v>
      </c>
      <c r="B55" s="4" t="s">
        <v>60</v>
      </c>
      <c r="C55" s="4" t="s">
        <v>61</v>
      </c>
      <c r="D55" s="26">
        <v>12.5</v>
      </c>
      <c r="E55" s="27">
        <v>12.49</v>
      </c>
      <c r="F55" s="5" t="s">
        <v>53</v>
      </c>
      <c r="G55" s="6"/>
      <c r="H55" s="5" t="s">
        <v>53</v>
      </c>
      <c r="I55" s="6"/>
      <c r="J55" s="6"/>
      <c r="K55" s="5"/>
      <c r="L55" s="5" t="s">
        <v>53</v>
      </c>
      <c r="M55" s="5"/>
      <c r="N55" s="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5" t="s">
        <v>53</v>
      </c>
      <c r="AH55" s="6"/>
      <c r="AI55" s="6"/>
      <c r="AJ55" s="6"/>
      <c r="AK55" s="5" t="s">
        <v>53</v>
      </c>
      <c r="AL55" s="6"/>
      <c r="AM55" s="6"/>
      <c r="AN55" s="3">
        <f t="shared" si="4"/>
        <v>5</v>
      </c>
      <c r="AO55" s="19">
        <f t="shared" si="5"/>
        <v>62.45</v>
      </c>
    </row>
    <row r="56">
      <c r="A56" s="30">
        <f>A55+3</f>
        <v>46125</v>
      </c>
      <c r="B56" s="4" t="s">
        <v>54</v>
      </c>
      <c r="C56" s="4" t="s">
        <v>59</v>
      </c>
      <c r="D56" s="26">
        <v>10.0</v>
      </c>
      <c r="E56" s="27">
        <v>10.48</v>
      </c>
      <c r="F56" s="5" t="s">
        <v>53</v>
      </c>
      <c r="G56" s="6"/>
      <c r="H56" s="5" t="s">
        <v>53</v>
      </c>
      <c r="I56" s="6"/>
      <c r="J56" s="6"/>
      <c r="K56" s="6"/>
      <c r="L56" s="6"/>
      <c r="M56" s="5"/>
      <c r="N56" s="5"/>
      <c r="O56" s="6"/>
      <c r="P56" s="6"/>
      <c r="Q56" s="6"/>
      <c r="R56" s="5" t="s">
        <v>53</v>
      </c>
      <c r="S56" s="5" t="s">
        <v>53</v>
      </c>
      <c r="T56" s="5"/>
      <c r="U56" s="6"/>
      <c r="V56" s="6"/>
      <c r="W56" s="6"/>
      <c r="X56" s="6"/>
      <c r="Y56" s="6"/>
      <c r="Z56" s="6"/>
      <c r="AA56" s="6"/>
      <c r="AB56" s="6"/>
      <c r="AC56" s="5" t="s">
        <v>53</v>
      </c>
      <c r="AD56" s="6"/>
      <c r="AE56" s="6"/>
      <c r="AF56" s="6"/>
      <c r="AG56" s="6"/>
      <c r="AH56" s="5"/>
      <c r="AI56" s="6"/>
      <c r="AJ56" s="6"/>
      <c r="AK56" s="6"/>
      <c r="AL56" s="6"/>
      <c r="AM56" s="6"/>
      <c r="AN56" s="3">
        <f t="shared" si="4"/>
        <v>5</v>
      </c>
      <c r="AO56" s="19">
        <f t="shared" si="5"/>
        <v>52.4</v>
      </c>
    </row>
    <row r="57">
      <c r="A57" s="28">
        <f t="shared" ref="A57:A58" si="20">A56+2</f>
        <v>46127</v>
      </c>
      <c r="B57" s="4" t="s">
        <v>56</v>
      </c>
      <c r="C57" s="4" t="s">
        <v>62</v>
      </c>
      <c r="D57" s="26">
        <v>12.5</v>
      </c>
      <c r="E57" s="27">
        <v>12.33</v>
      </c>
      <c r="F57" s="5" t="s">
        <v>53</v>
      </c>
      <c r="G57" s="5" t="s">
        <v>53</v>
      </c>
      <c r="H57" s="5" t="s">
        <v>53</v>
      </c>
      <c r="I57" s="6"/>
      <c r="J57" s="6"/>
      <c r="K57" s="5" t="s">
        <v>53</v>
      </c>
      <c r="L57" s="5" t="s">
        <v>53</v>
      </c>
      <c r="M57" s="5" t="s">
        <v>53</v>
      </c>
      <c r="N57" s="5"/>
      <c r="O57" s="6"/>
      <c r="P57" s="5" t="s">
        <v>53</v>
      </c>
      <c r="Q57" s="5" t="s">
        <v>53</v>
      </c>
      <c r="R57" s="6"/>
      <c r="S57" s="5" t="s">
        <v>53</v>
      </c>
      <c r="T57" s="5" t="s">
        <v>53</v>
      </c>
      <c r="U57" s="6"/>
      <c r="V57" s="6"/>
      <c r="W57" s="6"/>
      <c r="X57" s="6"/>
      <c r="Y57" s="6"/>
      <c r="Z57" s="6"/>
      <c r="AA57" s="6"/>
      <c r="AB57" s="6"/>
      <c r="AC57" s="5" t="s">
        <v>53</v>
      </c>
      <c r="AD57" s="6"/>
      <c r="AE57" s="6"/>
      <c r="AF57" s="6"/>
      <c r="AG57" s="5" t="s">
        <v>53</v>
      </c>
      <c r="AH57" s="5"/>
      <c r="AI57" s="6"/>
      <c r="AJ57" s="6"/>
      <c r="AK57" s="5" t="s">
        <v>53</v>
      </c>
      <c r="AL57" s="5" t="s">
        <v>53</v>
      </c>
      <c r="AM57" s="5"/>
      <c r="AN57" s="3">
        <f t="shared" si="4"/>
        <v>14</v>
      </c>
      <c r="AO57" s="19">
        <f t="shared" si="5"/>
        <v>172.62</v>
      </c>
    </row>
    <row r="58">
      <c r="A58" s="28">
        <f t="shared" si="20"/>
        <v>46129</v>
      </c>
      <c r="B58" s="4" t="s">
        <v>51</v>
      </c>
      <c r="C58" s="4" t="s">
        <v>52</v>
      </c>
      <c r="D58" s="26">
        <v>7.0</v>
      </c>
      <c r="E58" s="27">
        <v>7.01</v>
      </c>
      <c r="F58" s="5" t="s">
        <v>53</v>
      </c>
      <c r="G58" s="5" t="s">
        <v>53</v>
      </c>
      <c r="H58" s="5" t="s">
        <v>53</v>
      </c>
      <c r="I58" s="6"/>
      <c r="J58" s="6"/>
      <c r="K58" s="6"/>
      <c r="L58" s="5" t="s">
        <v>53</v>
      </c>
      <c r="M58" s="6"/>
      <c r="N58" s="6"/>
      <c r="O58" s="6"/>
      <c r="P58" s="5" t="s">
        <v>53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5" t="s">
        <v>53</v>
      </c>
      <c r="AD58" s="6"/>
      <c r="AE58" s="6"/>
      <c r="AF58" s="6"/>
      <c r="AG58" s="5" t="s">
        <v>53</v>
      </c>
      <c r="AH58" s="6"/>
      <c r="AI58" s="6"/>
      <c r="AJ58" s="6"/>
      <c r="AK58" s="6"/>
      <c r="AL58" s="6"/>
      <c r="AM58" s="6"/>
      <c r="AN58" s="3">
        <f t="shared" si="4"/>
        <v>7</v>
      </c>
      <c r="AO58" s="19">
        <f t="shared" si="5"/>
        <v>49.07</v>
      </c>
    </row>
    <row r="59">
      <c r="A59" s="30">
        <f>A58+3</f>
        <v>46132</v>
      </c>
      <c r="B59" s="4" t="s">
        <v>54</v>
      </c>
      <c r="C59" s="4" t="s">
        <v>58</v>
      </c>
      <c r="D59" s="26">
        <v>10.0</v>
      </c>
      <c r="E59" s="27">
        <v>10.09</v>
      </c>
      <c r="F59" s="6"/>
      <c r="G59" s="6"/>
      <c r="H59" s="5" t="s">
        <v>53</v>
      </c>
      <c r="I59" s="6"/>
      <c r="J59" s="6"/>
      <c r="K59" s="6"/>
      <c r="L59" s="6"/>
      <c r="M59" s="5"/>
      <c r="N59" s="5"/>
      <c r="O59" s="6"/>
      <c r="P59" s="6"/>
      <c r="Q59" s="6"/>
      <c r="R59" s="5" t="s">
        <v>53</v>
      </c>
      <c r="S59" s="5" t="s">
        <v>53</v>
      </c>
      <c r="T59" s="5"/>
      <c r="U59" s="6"/>
      <c r="V59" s="5" t="s">
        <v>53</v>
      </c>
      <c r="W59" s="6"/>
      <c r="X59" s="6"/>
      <c r="Y59" s="6"/>
      <c r="Z59" s="6"/>
      <c r="AA59" s="6"/>
      <c r="AB59" s="6"/>
      <c r="AC59" s="5" t="s">
        <v>53</v>
      </c>
      <c r="AD59" s="6"/>
      <c r="AE59" s="6"/>
      <c r="AF59" s="6"/>
      <c r="AG59" s="6"/>
      <c r="AH59" s="5" t="s">
        <v>53</v>
      </c>
      <c r="AI59" s="6"/>
      <c r="AJ59" s="6"/>
      <c r="AK59" s="6"/>
      <c r="AL59" s="6"/>
      <c r="AM59" s="6"/>
      <c r="AN59" s="3">
        <f t="shared" si="4"/>
        <v>6</v>
      </c>
      <c r="AO59" s="19">
        <f t="shared" si="5"/>
        <v>60.54</v>
      </c>
    </row>
    <row r="60">
      <c r="A60" s="28">
        <f t="shared" ref="A60:A61" si="21">A59+2</f>
        <v>46134</v>
      </c>
      <c r="B60" s="4" t="s">
        <v>56</v>
      </c>
      <c r="C60" s="4" t="s">
        <v>59</v>
      </c>
      <c r="D60" s="26">
        <v>8.0</v>
      </c>
      <c r="E60" s="34">
        <v>8.64</v>
      </c>
      <c r="F60" s="5" t="s">
        <v>53</v>
      </c>
      <c r="G60" s="5" t="s">
        <v>53</v>
      </c>
      <c r="H60" s="5" t="s">
        <v>53</v>
      </c>
      <c r="I60" s="6"/>
      <c r="J60" s="6"/>
      <c r="K60" s="5" t="s">
        <v>53</v>
      </c>
      <c r="L60" s="6"/>
      <c r="M60" s="5" t="s">
        <v>53</v>
      </c>
      <c r="N60" s="5"/>
      <c r="O60" s="6"/>
      <c r="P60" s="5" t="s">
        <v>53</v>
      </c>
      <c r="Q60" s="6"/>
      <c r="R60" s="6"/>
      <c r="S60" s="5" t="s">
        <v>53</v>
      </c>
      <c r="T60" s="5"/>
      <c r="U60" s="6"/>
      <c r="V60" s="5" t="s">
        <v>53</v>
      </c>
      <c r="W60" s="5" t="s">
        <v>53</v>
      </c>
      <c r="X60" s="6"/>
      <c r="Y60" s="5" t="s">
        <v>53</v>
      </c>
      <c r="Z60" s="6"/>
      <c r="AA60" s="6"/>
      <c r="AB60" s="6"/>
      <c r="AC60" s="5" t="s">
        <v>53</v>
      </c>
      <c r="AD60" s="5" t="s">
        <v>53</v>
      </c>
      <c r="AE60" s="6"/>
      <c r="AF60" s="6"/>
      <c r="AG60" s="5" t="s">
        <v>53</v>
      </c>
      <c r="AH60" s="6"/>
      <c r="AI60" s="6"/>
      <c r="AJ60" s="6"/>
      <c r="AK60" s="5" t="s">
        <v>53</v>
      </c>
      <c r="AL60" s="5" t="s">
        <v>53</v>
      </c>
      <c r="AM60" s="6"/>
      <c r="AN60" s="3">
        <f t="shared" si="4"/>
        <v>15</v>
      </c>
      <c r="AO60" s="19">
        <f t="shared" si="5"/>
        <v>129.6</v>
      </c>
    </row>
    <row r="61">
      <c r="A61" s="30">
        <f t="shared" si="21"/>
        <v>46136</v>
      </c>
      <c r="B61" s="4" t="s">
        <v>51</v>
      </c>
      <c r="C61" s="4" t="s">
        <v>52</v>
      </c>
      <c r="D61" s="26">
        <v>7.0</v>
      </c>
      <c r="E61" s="27">
        <v>4.0</v>
      </c>
      <c r="F61" s="5" t="s">
        <v>53</v>
      </c>
      <c r="G61" s="5" t="s">
        <v>53</v>
      </c>
      <c r="H61" s="6"/>
      <c r="I61" s="6"/>
      <c r="J61" s="6"/>
      <c r="K61" s="6"/>
      <c r="L61" s="5" t="s">
        <v>53</v>
      </c>
      <c r="M61" s="5"/>
      <c r="N61" s="5"/>
      <c r="O61" s="6"/>
      <c r="P61" s="5" t="s">
        <v>53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5" t="s">
        <v>53</v>
      </c>
      <c r="AH61" s="6"/>
      <c r="AI61" s="6"/>
      <c r="AJ61" s="6"/>
      <c r="AK61" s="6"/>
      <c r="AL61" s="6"/>
      <c r="AM61" s="6"/>
      <c r="AN61" s="3">
        <f t="shared" si="4"/>
        <v>5</v>
      </c>
      <c r="AO61" s="19">
        <f t="shared" si="5"/>
        <v>20</v>
      </c>
    </row>
    <row r="62">
      <c r="A62" s="31">
        <v>46137.0</v>
      </c>
      <c r="B62" s="4" t="s">
        <v>56</v>
      </c>
      <c r="C62" s="4" t="s">
        <v>67</v>
      </c>
      <c r="D62" s="26">
        <v>42.2</v>
      </c>
      <c r="E62" s="27">
        <v>42.22</v>
      </c>
      <c r="F62" s="5" t="s">
        <v>53</v>
      </c>
      <c r="G62" s="6"/>
      <c r="H62" s="5" t="s">
        <v>53</v>
      </c>
      <c r="I62" s="6"/>
      <c r="J62" s="6"/>
      <c r="K62" s="6"/>
      <c r="L62" s="5" t="s">
        <v>53</v>
      </c>
      <c r="M62" s="6"/>
      <c r="N62" s="6"/>
      <c r="O62" s="6"/>
      <c r="P62" s="5" t="s">
        <v>53</v>
      </c>
      <c r="Q62" s="6"/>
      <c r="R62" s="6"/>
      <c r="S62" s="6"/>
      <c r="T62" s="6"/>
      <c r="U62" s="6"/>
      <c r="V62" s="5" t="s">
        <v>53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5" t="s">
        <v>53</v>
      </c>
      <c r="AH62" s="6"/>
      <c r="AI62" s="6"/>
      <c r="AJ62" s="6"/>
      <c r="AK62" s="6"/>
      <c r="AL62" s="6"/>
      <c r="AM62" s="6"/>
      <c r="AN62" s="3">
        <f t="shared" si="4"/>
        <v>6</v>
      </c>
      <c r="AO62" s="19">
        <f t="shared" si="5"/>
        <v>253.32</v>
      </c>
    </row>
    <row r="63">
      <c r="A63" s="31">
        <v>46137.0</v>
      </c>
      <c r="B63" s="4" t="s">
        <v>56</v>
      </c>
      <c r="C63" s="4" t="s">
        <v>68</v>
      </c>
      <c r="D63" s="26">
        <v>21.1</v>
      </c>
      <c r="E63" s="27">
        <v>21.1</v>
      </c>
      <c r="F63" s="6"/>
      <c r="G63" s="5" t="s">
        <v>53</v>
      </c>
      <c r="H63" s="6"/>
      <c r="I63" s="6"/>
      <c r="J63" s="6"/>
      <c r="K63" s="6"/>
      <c r="L63" s="6"/>
      <c r="M63" s="5"/>
      <c r="N63" s="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3">
        <f t="shared" si="4"/>
        <v>1</v>
      </c>
      <c r="AO63" s="19">
        <f t="shared" si="5"/>
        <v>21.1</v>
      </c>
    </row>
    <row r="64">
      <c r="A64" s="35">
        <v>46139.0</v>
      </c>
      <c r="B64" s="4" t="s">
        <v>54</v>
      </c>
      <c r="C64" s="4" t="s">
        <v>59</v>
      </c>
      <c r="D64" s="26">
        <v>10.0</v>
      </c>
      <c r="E64" s="27">
        <v>10.42</v>
      </c>
      <c r="F64" s="6"/>
      <c r="G64" s="6"/>
      <c r="H64" s="5" t="s">
        <v>53</v>
      </c>
      <c r="I64" s="6"/>
      <c r="J64" s="6"/>
      <c r="K64" s="6"/>
      <c r="L64" s="5" t="s">
        <v>53</v>
      </c>
      <c r="M64" s="6"/>
      <c r="N64" s="5"/>
      <c r="O64" s="6"/>
      <c r="P64" s="5" t="s">
        <v>53</v>
      </c>
      <c r="Q64" s="6"/>
      <c r="R64" s="5" t="s">
        <v>53</v>
      </c>
      <c r="S64" s="5" t="s">
        <v>53</v>
      </c>
      <c r="T64" s="6"/>
      <c r="U64" s="6"/>
      <c r="V64" s="5" t="s">
        <v>53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5" t="s">
        <v>53</v>
      </c>
      <c r="AH64" s="5" t="s">
        <v>53</v>
      </c>
      <c r="AI64" s="6"/>
      <c r="AJ64" s="6"/>
      <c r="AK64" s="6"/>
      <c r="AL64" s="6"/>
      <c r="AM64" s="6"/>
      <c r="AN64" s="3">
        <f t="shared" si="4"/>
        <v>8</v>
      </c>
      <c r="AO64" s="19">
        <f t="shared" si="5"/>
        <v>83.36</v>
      </c>
    </row>
    <row r="65">
      <c r="A65" s="36">
        <f t="shared" ref="A65:A66" si="22">A64+2</f>
        <v>46141</v>
      </c>
      <c r="B65" s="4" t="s">
        <v>56</v>
      </c>
      <c r="C65" s="4" t="s">
        <v>57</v>
      </c>
      <c r="D65" s="26">
        <v>8.0</v>
      </c>
      <c r="E65" s="27">
        <v>7.99</v>
      </c>
      <c r="F65" s="5" t="s">
        <v>53</v>
      </c>
      <c r="G65" s="5" t="s">
        <v>53</v>
      </c>
      <c r="H65" s="5" t="s">
        <v>53</v>
      </c>
      <c r="I65" s="5" t="s">
        <v>53</v>
      </c>
      <c r="J65" s="6"/>
      <c r="K65" s="5" t="s">
        <v>53</v>
      </c>
      <c r="L65" s="5" t="s">
        <v>53</v>
      </c>
      <c r="M65" s="5" t="s">
        <v>53</v>
      </c>
      <c r="N65" s="5"/>
      <c r="O65" s="6"/>
      <c r="P65" s="5" t="s">
        <v>53</v>
      </c>
      <c r="Q65" s="6"/>
      <c r="R65" s="6"/>
      <c r="S65" s="5" t="s">
        <v>53</v>
      </c>
      <c r="T65" s="5" t="s">
        <v>53</v>
      </c>
      <c r="U65" s="6"/>
      <c r="V65" s="5" t="s">
        <v>53</v>
      </c>
      <c r="W65" s="6"/>
      <c r="X65" s="6"/>
      <c r="Y65" s="5" t="s">
        <v>53</v>
      </c>
      <c r="Z65" s="6"/>
      <c r="AA65" s="6"/>
      <c r="AB65" s="6"/>
      <c r="AC65" s="5" t="s">
        <v>53</v>
      </c>
      <c r="AD65" s="6"/>
      <c r="AE65" s="6"/>
      <c r="AF65" s="6"/>
      <c r="AG65" s="5" t="s">
        <v>53</v>
      </c>
      <c r="AH65" s="5" t="s">
        <v>53</v>
      </c>
      <c r="AI65" s="6"/>
      <c r="AJ65" s="6"/>
      <c r="AK65" s="5" t="s">
        <v>53</v>
      </c>
      <c r="AL65" s="5" t="s">
        <v>53</v>
      </c>
      <c r="AM65" s="5"/>
      <c r="AN65" s="3">
        <f t="shared" si="4"/>
        <v>17</v>
      </c>
      <c r="AO65" s="19">
        <f t="shared" si="5"/>
        <v>135.83</v>
      </c>
    </row>
    <row r="66">
      <c r="A66" s="36">
        <f t="shared" si="22"/>
        <v>46143</v>
      </c>
      <c r="B66" s="4" t="s">
        <v>51</v>
      </c>
      <c r="C66" s="4" t="s">
        <v>52</v>
      </c>
      <c r="D66" s="26">
        <v>7.0</v>
      </c>
      <c r="E66" s="27">
        <v>7.02</v>
      </c>
      <c r="F66" s="5" t="s">
        <v>53</v>
      </c>
      <c r="G66" s="5" t="s">
        <v>53</v>
      </c>
      <c r="H66" s="6"/>
      <c r="I66" s="6"/>
      <c r="J66" s="6"/>
      <c r="K66" s="6"/>
      <c r="L66" s="5" t="s">
        <v>53</v>
      </c>
      <c r="M66" s="6"/>
      <c r="N66" s="5"/>
      <c r="O66" s="6"/>
      <c r="P66" s="5" t="s">
        <v>53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5" t="s">
        <v>53</v>
      </c>
      <c r="AH66" s="6"/>
      <c r="AI66" s="6"/>
      <c r="AJ66" s="6"/>
      <c r="AK66" s="6"/>
      <c r="AL66" s="6"/>
      <c r="AM66" s="6"/>
      <c r="AN66" s="3">
        <f t="shared" si="4"/>
        <v>5</v>
      </c>
      <c r="AO66" s="19">
        <f t="shared" si="5"/>
        <v>35.1</v>
      </c>
    </row>
    <row r="67">
      <c r="A67" s="36">
        <f>A66+3</f>
        <v>46146</v>
      </c>
      <c r="B67" s="4" t="s">
        <v>54</v>
      </c>
      <c r="C67" s="4" t="s">
        <v>58</v>
      </c>
      <c r="D67" s="26">
        <v>10.0</v>
      </c>
      <c r="E67" s="27">
        <v>10.78</v>
      </c>
      <c r="F67" s="5" t="s">
        <v>53</v>
      </c>
      <c r="G67" s="6"/>
      <c r="H67" s="6"/>
      <c r="I67" s="6"/>
      <c r="J67" s="6"/>
      <c r="K67" s="6"/>
      <c r="L67" s="6"/>
      <c r="M67" s="6"/>
      <c r="N67" s="5"/>
      <c r="O67" s="6"/>
      <c r="P67" s="6"/>
      <c r="Q67" s="6"/>
      <c r="R67" s="5" t="s">
        <v>53</v>
      </c>
      <c r="S67" s="5" t="s">
        <v>53</v>
      </c>
      <c r="T67" s="6"/>
      <c r="U67" s="6"/>
      <c r="V67" s="5" t="s">
        <v>53</v>
      </c>
      <c r="W67" s="6"/>
      <c r="X67" s="6"/>
      <c r="Y67" s="6"/>
      <c r="Z67" s="6"/>
      <c r="AA67" s="6"/>
      <c r="AB67" s="5" t="s">
        <v>53</v>
      </c>
      <c r="AC67" s="5" t="s">
        <v>53</v>
      </c>
      <c r="AD67" s="6"/>
      <c r="AE67" s="6"/>
      <c r="AF67" s="6"/>
      <c r="AG67" s="6"/>
      <c r="AH67" s="5" t="s">
        <v>53</v>
      </c>
      <c r="AI67" s="6"/>
      <c r="AJ67" s="6"/>
      <c r="AK67" s="6"/>
      <c r="AL67" s="6"/>
      <c r="AM67" s="6"/>
      <c r="AN67" s="3">
        <f t="shared" si="4"/>
        <v>7</v>
      </c>
      <c r="AO67" s="19">
        <f t="shared" si="5"/>
        <v>75.46</v>
      </c>
    </row>
    <row r="68">
      <c r="A68" s="37">
        <f t="shared" ref="A68:A69" si="23">A67+2</f>
        <v>46148</v>
      </c>
      <c r="B68" s="4" t="s">
        <v>56</v>
      </c>
      <c r="C68" s="4" t="s">
        <v>59</v>
      </c>
      <c r="D68" s="26">
        <v>8.0</v>
      </c>
      <c r="E68" s="27">
        <v>8.44</v>
      </c>
      <c r="F68" s="5" t="s">
        <v>53</v>
      </c>
      <c r="G68" s="6"/>
      <c r="H68" s="6"/>
      <c r="I68" s="6"/>
      <c r="J68" s="6"/>
      <c r="K68" s="6"/>
      <c r="L68" s="5" t="s">
        <v>53</v>
      </c>
      <c r="M68" s="6"/>
      <c r="N68" s="5" t="s">
        <v>53</v>
      </c>
      <c r="O68" s="6"/>
      <c r="P68" s="6"/>
      <c r="Q68" s="6"/>
      <c r="R68" s="6"/>
      <c r="S68" s="5" t="s">
        <v>53</v>
      </c>
      <c r="T68" s="6"/>
      <c r="U68" s="6"/>
      <c r="V68" s="5" t="s">
        <v>53</v>
      </c>
      <c r="W68" s="6"/>
      <c r="X68" s="6"/>
      <c r="Y68" s="6"/>
      <c r="Z68" s="6"/>
      <c r="AA68" s="6"/>
      <c r="AB68" s="5" t="s">
        <v>53</v>
      </c>
      <c r="AC68" s="5" t="s">
        <v>53</v>
      </c>
      <c r="AD68" s="6"/>
      <c r="AE68" s="6"/>
      <c r="AF68" s="6"/>
      <c r="AG68" s="5" t="s">
        <v>53</v>
      </c>
      <c r="AH68" s="5" t="s">
        <v>53</v>
      </c>
      <c r="AI68" s="6"/>
      <c r="AJ68" s="6"/>
      <c r="AK68" s="5" t="s">
        <v>53</v>
      </c>
      <c r="AL68" s="5" t="s">
        <v>53</v>
      </c>
      <c r="AM68" s="5">
        <v>1.0</v>
      </c>
      <c r="AN68" s="3">
        <f t="shared" si="4"/>
        <v>12</v>
      </c>
      <c r="AO68" s="19">
        <f t="shared" si="5"/>
        <v>101.28</v>
      </c>
    </row>
    <row r="69">
      <c r="A69" s="36">
        <f t="shared" si="23"/>
        <v>46150</v>
      </c>
      <c r="B69" s="4" t="s">
        <v>60</v>
      </c>
      <c r="C69" s="4" t="s">
        <v>61</v>
      </c>
      <c r="D69" s="26">
        <v>12.5</v>
      </c>
      <c r="E69" s="27" t="s">
        <v>69</v>
      </c>
      <c r="F69" s="6"/>
      <c r="G69" s="6"/>
      <c r="H69" s="6"/>
      <c r="I69" s="6"/>
      <c r="J69" s="6"/>
      <c r="K69" s="6"/>
      <c r="L69" s="6"/>
      <c r="M69" s="6"/>
      <c r="N69" s="5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3">
        <f t="shared" si="4"/>
        <v>0</v>
      </c>
      <c r="AO69" s="19">
        <f>0</f>
        <v>0</v>
      </c>
    </row>
    <row r="70">
      <c r="A70" s="36">
        <f>A69+3</f>
        <v>46153</v>
      </c>
      <c r="B70" s="4" t="s">
        <v>54</v>
      </c>
      <c r="C70" s="4" t="s">
        <v>59</v>
      </c>
      <c r="D70" s="26">
        <v>10.0</v>
      </c>
      <c r="E70" s="27">
        <v>10.42</v>
      </c>
      <c r="F70" s="5" t="s">
        <v>53</v>
      </c>
      <c r="G70" s="6"/>
      <c r="H70" s="6"/>
      <c r="I70" s="6"/>
      <c r="J70" s="6"/>
      <c r="K70" s="6"/>
      <c r="L70" s="6"/>
      <c r="M70" s="6"/>
      <c r="N70" s="5"/>
      <c r="O70" s="6"/>
      <c r="P70" s="6"/>
      <c r="Q70" s="6"/>
      <c r="R70" s="6"/>
      <c r="S70" s="5" t="s">
        <v>53</v>
      </c>
      <c r="T70" s="6"/>
      <c r="U70" s="6"/>
      <c r="V70" s="6"/>
      <c r="W70" s="6"/>
      <c r="X70" s="6"/>
      <c r="Y70" s="5" t="s">
        <v>53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5">
        <v>1.0</v>
      </c>
      <c r="AN70" s="3">
        <f t="shared" si="4"/>
        <v>4</v>
      </c>
      <c r="AO70" s="19">
        <f t="shared" ref="AO70:AO174" si="24">AN70*E70</f>
        <v>41.68</v>
      </c>
    </row>
    <row r="71">
      <c r="A71" s="37">
        <f t="shared" ref="A71:A72" si="25">A70+2</f>
        <v>46155</v>
      </c>
      <c r="B71" s="4" t="s">
        <v>56</v>
      </c>
      <c r="C71" s="4" t="s">
        <v>62</v>
      </c>
      <c r="D71" s="26">
        <v>12.5</v>
      </c>
      <c r="E71" s="27">
        <v>12.33</v>
      </c>
      <c r="F71" s="5" t="s">
        <v>53</v>
      </c>
      <c r="G71" s="6"/>
      <c r="H71" s="6"/>
      <c r="I71" s="5" t="s">
        <v>53</v>
      </c>
      <c r="J71" s="6"/>
      <c r="K71" s="5" t="s">
        <v>53</v>
      </c>
      <c r="L71" s="6"/>
      <c r="M71" s="6"/>
      <c r="N71" s="5"/>
      <c r="O71" s="6"/>
      <c r="P71" s="5" t="s">
        <v>53</v>
      </c>
      <c r="Q71" s="6"/>
      <c r="R71" s="6"/>
      <c r="S71" s="5" t="s">
        <v>53</v>
      </c>
      <c r="T71" s="6"/>
      <c r="U71" s="6"/>
      <c r="V71" s="5" t="s">
        <v>53</v>
      </c>
      <c r="W71" s="6"/>
      <c r="X71" s="6"/>
      <c r="Y71" s="5" t="s">
        <v>53</v>
      </c>
      <c r="Z71" s="6"/>
      <c r="AA71" s="6"/>
      <c r="AB71" s="6"/>
      <c r="AC71" s="6"/>
      <c r="AD71" s="5" t="s">
        <v>53</v>
      </c>
      <c r="AE71" s="6"/>
      <c r="AF71" s="6"/>
      <c r="AG71" s="5" t="s">
        <v>53</v>
      </c>
      <c r="AH71" s="5"/>
      <c r="AI71" s="6"/>
      <c r="AJ71" s="6"/>
      <c r="AK71" s="6"/>
      <c r="AL71" s="5" t="s">
        <v>53</v>
      </c>
      <c r="AM71" s="5">
        <v>1.0</v>
      </c>
      <c r="AN71" s="3">
        <f t="shared" si="4"/>
        <v>11</v>
      </c>
      <c r="AO71" s="19">
        <f t="shared" si="24"/>
        <v>135.63</v>
      </c>
    </row>
    <row r="72">
      <c r="A72" s="36">
        <f t="shared" si="25"/>
        <v>46157</v>
      </c>
      <c r="B72" s="4" t="s">
        <v>51</v>
      </c>
      <c r="C72" s="4" t="s">
        <v>70</v>
      </c>
      <c r="D72" s="26">
        <v>10.0</v>
      </c>
      <c r="E72" s="34">
        <v>10.19</v>
      </c>
      <c r="F72" s="5" t="s">
        <v>53</v>
      </c>
      <c r="G72" s="6"/>
      <c r="H72" s="6"/>
      <c r="I72" s="6"/>
      <c r="J72" s="6"/>
      <c r="K72" s="6"/>
      <c r="L72" s="6"/>
      <c r="M72" s="6"/>
      <c r="N72" s="5"/>
      <c r="O72" s="6"/>
      <c r="P72" s="5" t="s">
        <v>53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5" t="s">
        <v>53</v>
      </c>
      <c r="AH72" s="6"/>
      <c r="AI72" s="6"/>
      <c r="AJ72" s="6"/>
      <c r="AK72" s="6"/>
      <c r="AL72" s="6"/>
      <c r="AM72" s="6"/>
      <c r="AN72" s="3">
        <f t="shared" si="4"/>
        <v>3</v>
      </c>
      <c r="AO72" s="19">
        <f t="shared" si="24"/>
        <v>30.57</v>
      </c>
    </row>
    <row r="73">
      <c r="A73" s="36">
        <f>A72+3</f>
        <v>46160</v>
      </c>
      <c r="B73" s="4" t="s">
        <v>54</v>
      </c>
      <c r="C73" s="4" t="s">
        <v>58</v>
      </c>
      <c r="D73" s="26">
        <v>10.0</v>
      </c>
      <c r="E73" s="27">
        <v>10.42</v>
      </c>
      <c r="F73" s="5" t="s">
        <v>53</v>
      </c>
      <c r="G73" s="6"/>
      <c r="H73" s="5" t="s">
        <v>53</v>
      </c>
      <c r="I73" s="6"/>
      <c r="J73" s="6"/>
      <c r="K73" s="6"/>
      <c r="L73" s="6"/>
      <c r="M73" s="6"/>
      <c r="N73" s="6"/>
      <c r="O73" s="6"/>
      <c r="P73" s="6"/>
      <c r="Q73" s="6"/>
      <c r="R73" s="5" t="s">
        <v>53</v>
      </c>
      <c r="S73" s="5" t="s">
        <v>53</v>
      </c>
      <c r="T73" s="6"/>
      <c r="U73" s="6"/>
      <c r="V73" s="5" t="s">
        <v>53</v>
      </c>
      <c r="W73" s="6"/>
      <c r="X73" s="6"/>
      <c r="Y73" s="6"/>
      <c r="Z73" s="6"/>
      <c r="AA73" s="6"/>
      <c r="AB73" s="5" t="s">
        <v>53</v>
      </c>
      <c r="AC73" s="6"/>
      <c r="AD73" s="6"/>
      <c r="AE73" s="6"/>
      <c r="AF73" s="6"/>
      <c r="AG73" s="6"/>
      <c r="AH73" s="6"/>
      <c r="AI73" s="6"/>
      <c r="AJ73" s="6"/>
      <c r="AK73" s="6"/>
      <c r="AL73" s="5" t="s">
        <v>53</v>
      </c>
      <c r="AM73" s="6"/>
      <c r="AN73" s="3">
        <f t="shared" si="4"/>
        <v>7</v>
      </c>
      <c r="AO73" s="19">
        <f t="shared" si="24"/>
        <v>72.94</v>
      </c>
    </row>
    <row r="74">
      <c r="A74" s="37">
        <f t="shared" ref="A74:A75" si="26">A73+2</f>
        <v>46162</v>
      </c>
      <c r="B74" s="4" t="s">
        <v>56</v>
      </c>
      <c r="C74" s="4" t="s">
        <v>59</v>
      </c>
      <c r="D74" s="26">
        <v>8.0</v>
      </c>
      <c r="E74" s="27">
        <v>8.2</v>
      </c>
      <c r="F74" s="5" t="s">
        <v>53</v>
      </c>
      <c r="G74" s="6"/>
      <c r="H74" s="5" t="s">
        <v>53</v>
      </c>
      <c r="I74" s="5" t="s">
        <v>53</v>
      </c>
      <c r="J74" s="6"/>
      <c r="K74" s="5" t="s">
        <v>53</v>
      </c>
      <c r="L74" s="6"/>
      <c r="M74" s="5" t="s">
        <v>53</v>
      </c>
      <c r="N74" s="6"/>
      <c r="O74" s="6"/>
      <c r="P74" s="5" t="s">
        <v>53</v>
      </c>
      <c r="Q74" s="6"/>
      <c r="R74" s="6"/>
      <c r="S74" s="6"/>
      <c r="T74" s="6"/>
      <c r="U74" s="6"/>
      <c r="V74" s="5" t="s">
        <v>53</v>
      </c>
      <c r="W74" s="6"/>
      <c r="X74" s="6"/>
      <c r="Y74" s="6"/>
      <c r="Z74" s="6"/>
      <c r="AA74" s="6"/>
      <c r="AB74" s="6"/>
      <c r="AC74" s="5" t="s">
        <v>53</v>
      </c>
      <c r="AD74" s="6"/>
      <c r="AE74" s="6"/>
      <c r="AF74" s="6"/>
      <c r="AG74" s="5" t="s">
        <v>53</v>
      </c>
      <c r="AH74" s="6"/>
      <c r="AI74" s="6"/>
      <c r="AJ74" s="6"/>
      <c r="AK74" s="6"/>
      <c r="AL74" s="5" t="s">
        <v>53</v>
      </c>
      <c r="AM74" s="5">
        <v>1.0</v>
      </c>
      <c r="AN74" s="3">
        <f t="shared" si="4"/>
        <v>11</v>
      </c>
      <c r="AO74" s="19">
        <f t="shared" si="24"/>
        <v>90.2</v>
      </c>
    </row>
    <row r="75">
      <c r="A75" s="36">
        <f t="shared" si="26"/>
        <v>46164</v>
      </c>
      <c r="B75" s="4" t="s">
        <v>60</v>
      </c>
      <c r="C75" s="4" t="s">
        <v>61</v>
      </c>
      <c r="D75" s="26">
        <v>12.5</v>
      </c>
      <c r="E75" s="27">
        <v>12.49</v>
      </c>
      <c r="F75" s="5" t="s">
        <v>53</v>
      </c>
      <c r="G75" s="6"/>
      <c r="H75" s="6"/>
      <c r="I75" s="6"/>
      <c r="J75" s="6"/>
      <c r="K75" s="6"/>
      <c r="L75" s="6"/>
      <c r="M75" s="6"/>
      <c r="N75" s="6"/>
      <c r="O75" s="6"/>
      <c r="P75" s="5" t="s">
        <v>53</v>
      </c>
      <c r="Q75" s="6"/>
      <c r="R75" s="6"/>
      <c r="S75" s="6"/>
      <c r="T75" s="6"/>
      <c r="U75" s="6"/>
      <c r="V75" s="6"/>
      <c r="W75" s="6"/>
      <c r="X75" s="6"/>
      <c r="Y75" s="5" t="s">
        <v>53</v>
      </c>
      <c r="Z75" s="6"/>
      <c r="AA75" s="6"/>
      <c r="AB75" s="6"/>
      <c r="AC75" s="5" t="s">
        <v>53</v>
      </c>
      <c r="AD75" s="6"/>
      <c r="AE75" s="6"/>
      <c r="AF75" s="6"/>
      <c r="AG75" s="5" t="s">
        <v>53</v>
      </c>
      <c r="AH75" s="6"/>
      <c r="AI75" s="6"/>
      <c r="AJ75" s="6"/>
      <c r="AK75" s="6"/>
      <c r="AL75" s="6"/>
      <c r="AM75" s="5">
        <v>1.0</v>
      </c>
      <c r="AN75" s="3">
        <f t="shared" si="4"/>
        <v>6</v>
      </c>
      <c r="AO75" s="19">
        <f t="shared" si="24"/>
        <v>74.94</v>
      </c>
    </row>
    <row r="76">
      <c r="A76" s="36">
        <f>A75+3</f>
        <v>46167</v>
      </c>
      <c r="B76" s="4" t="s">
        <v>54</v>
      </c>
      <c r="C76" s="4" t="s">
        <v>59</v>
      </c>
      <c r="D76" s="26">
        <v>10.0</v>
      </c>
      <c r="E76" s="27">
        <v>9.77</v>
      </c>
      <c r="F76" s="5" t="s">
        <v>53</v>
      </c>
      <c r="G76" s="6"/>
      <c r="H76" s="5" t="s">
        <v>53</v>
      </c>
      <c r="I76" s="6"/>
      <c r="J76" s="6"/>
      <c r="K76" s="6"/>
      <c r="L76" s="6"/>
      <c r="M76" s="6"/>
      <c r="N76" s="6"/>
      <c r="O76" s="6"/>
      <c r="P76" s="6"/>
      <c r="Q76" s="6"/>
      <c r="R76" s="5" t="s">
        <v>53</v>
      </c>
      <c r="S76" s="6"/>
      <c r="T76" s="6"/>
      <c r="U76" s="6"/>
      <c r="V76" s="5" t="s">
        <v>53</v>
      </c>
      <c r="W76" s="6"/>
      <c r="X76" s="6"/>
      <c r="Y76" s="5" t="s">
        <v>53</v>
      </c>
      <c r="Z76" s="6"/>
      <c r="AA76" s="6"/>
      <c r="AB76" s="6"/>
      <c r="AC76" s="5"/>
      <c r="AD76" s="6"/>
      <c r="AE76" s="6"/>
      <c r="AF76" s="6"/>
      <c r="AG76" s="6"/>
      <c r="AH76" s="5" t="s">
        <v>53</v>
      </c>
      <c r="AI76" s="6"/>
      <c r="AJ76" s="6"/>
      <c r="AK76" s="6"/>
      <c r="AL76" s="6"/>
      <c r="AM76" s="5">
        <v>1.0</v>
      </c>
      <c r="AN76" s="3">
        <f t="shared" si="4"/>
        <v>7</v>
      </c>
      <c r="AO76" s="19">
        <f t="shared" si="24"/>
        <v>68.39</v>
      </c>
    </row>
    <row r="77">
      <c r="A77" s="37">
        <f t="shared" ref="A77:A78" si="27">A76+2</f>
        <v>46169</v>
      </c>
      <c r="B77" s="4" t="s">
        <v>56</v>
      </c>
      <c r="C77" s="4" t="s">
        <v>57</v>
      </c>
      <c r="D77" s="26">
        <v>8.0</v>
      </c>
      <c r="E77" s="2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3">
        <f t="shared" si="4"/>
        <v>0</v>
      </c>
      <c r="AO77" s="19">
        <f t="shared" si="24"/>
        <v>0</v>
      </c>
    </row>
    <row r="78">
      <c r="A78" s="36">
        <f t="shared" si="27"/>
        <v>46171</v>
      </c>
      <c r="B78" s="4" t="s">
        <v>51</v>
      </c>
      <c r="C78" s="4" t="s">
        <v>70</v>
      </c>
      <c r="D78" s="26">
        <v>10.0</v>
      </c>
      <c r="E78" s="2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3">
        <f t="shared" si="4"/>
        <v>0</v>
      </c>
      <c r="AO78" s="19">
        <f t="shared" si="24"/>
        <v>0</v>
      </c>
    </row>
    <row r="79">
      <c r="A79" s="36">
        <f>A78+3</f>
        <v>46174</v>
      </c>
      <c r="B79" s="4" t="s">
        <v>54</v>
      </c>
      <c r="C79" s="4" t="s">
        <v>58</v>
      </c>
      <c r="D79" s="26">
        <v>10.0</v>
      </c>
      <c r="E79" s="2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3">
        <f t="shared" si="4"/>
        <v>0</v>
      </c>
      <c r="AO79" s="19">
        <f t="shared" si="24"/>
        <v>0</v>
      </c>
    </row>
    <row r="80">
      <c r="A80" s="37">
        <f t="shared" ref="A80:A81" si="28">A79+2</f>
        <v>46176</v>
      </c>
      <c r="B80" s="4" t="s">
        <v>56</v>
      </c>
      <c r="C80" s="4" t="s">
        <v>59</v>
      </c>
      <c r="D80" s="26">
        <v>8.0</v>
      </c>
      <c r="E80" s="2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3">
        <f t="shared" si="4"/>
        <v>0</v>
      </c>
      <c r="AO80" s="19">
        <f t="shared" si="24"/>
        <v>0</v>
      </c>
    </row>
    <row r="81">
      <c r="A81" s="36">
        <f t="shared" si="28"/>
        <v>46178</v>
      </c>
      <c r="B81" s="4" t="s">
        <v>60</v>
      </c>
      <c r="C81" s="4" t="s">
        <v>61</v>
      </c>
      <c r="D81" s="26">
        <v>12.5</v>
      </c>
      <c r="E81" s="2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3">
        <f t="shared" si="4"/>
        <v>0</v>
      </c>
      <c r="AO81" s="19">
        <f t="shared" si="24"/>
        <v>0</v>
      </c>
    </row>
    <row r="82">
      <c r="A82" s="36">
        <f>A81+3</f>
        <v>46181</v>
      </c>
      <c r="B82" s="4" t="s">
        <v>54</v>
      </c>
      <c r="C82" s="4" t="s">
        <v>59</v>
      </c>
      <c r="D82" s="26">
        <v>10.0</v>
      </c>
      <c r="E82" s="2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3">
        <f t="shared" si="4"/>
        <v>0</v>
      </c>
      <c r="AO82" s="19">
        <f t="shared" si="24"/>
        <v>0</v>
      </c>
    </row>
    <row r="83">
      <c r="A83" s="37">
        <f t="shared" ref="A83:A84" si="29">A82+2</f>
        <v>46183</v>
      </c>
      <c r="B83" s="4" t="s">
        <v>56</v>
      </c>
      <c r="C83" s="4" t="s">
        <v>62</v>
      </c>
      <c r="D83" s="26">
        <v>12.5</v>
      </c>
      <c r="E83" s="2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3">
        <f t="shared" si="4"/>
        <v>0</v>
      </c>
      <c r="AO83" s="19">
        <f t="shared" si="24"/>
        <v>0</v>
      </c>
    </row>
    <row r="84">
      <c r="A84" s="36">
        <f t="shared" si="29"/>
        <v>46185</v>
      </c>
      <c r="B84" s="5" t="s">
        <v>51</v>
      </c>
      <c r="C84" s="5" t="s">
        <v>70</v>
      </c>
      <c r="D84" s="33">
        <v>10.0</v>
      </c>
      <c r="E84" s="27"/>
      <c r="F84" s="6"/>
      <c r="G84" s="5"/>
      <c r="H84" s="5"/>
      <c r="I84" s="6"/>
      <c r="J84" s="6"/>
      <c r="K84" s="5"/>
      <c r="L84" s="5"/>
      <c r="M84" s="6"/>
      <c r="N84" s="6"/>
      <c r="O84" s="6"/>
      <c r="P84" s="5"/>
      <c r="Q84" s="6"/>
      <c r="R84" s="6"/>
      <c r="S84" s="6"/>
      <c r="T84" s="6"/>
      <c r="U84" s="6"/>
      <c r="V84" s="5"/>
      <c r="W84" s="6"/>
      <c r="X84" s="6"/>
      <c r="Y84" s="6"/>
      <c r="Z84" s="6"/>
      <c r="AA84" s="6"/>
      <c r="AB84" s="5"/>
      <c r="AC84" s="5"/>
      <c r="AD84" s="5"/>
      <c r="AE84" s="6"/>
      <c r="AF84" s="6"/>
      <c r="AG84" s="5"/>
      <c r="AH84" s="5"/>
      <c r="AI84" s="6"/>
      <c r="AJ84" s="6"/>
      <c r="AK84" s="6"/>
      <c r="AL84" s="6"/>
      <c r="AM84" s="6"/>
      <c r="AN84" s="3">
        <f t="shared" si="4"/>
        <v>0</v>
      </c>
      <c r="AO84" s="19">
        <f t="shared" si="24"/>
        <v>0</v>
      </c>
      <c r="AP84" s="6"/>
    </row>
    <row r="85">
      <c r="A85" s="36">
        <f>A84+3</f>
        <v>46188</v>
      </c>
      <c r="B85" s="4" t="s">
        <v>54</v>
      </c>
      <c r="C85" s="4" t="s">
        <v>58</v>
      </c>
      <c r="D85" s="26">
        <v>10.0</v>
      </c>
      <c r="E85" s="2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3">
        <f t="shared" si="4"/>
        <v>0</v>
      </c>
      <c r="AO85" s="19">
        <f t="shared" si="24"/>
        <v>0</v>
      </c>
    </row>
    <row r="86">
      <c r="A86" s="37">
        <f t="shared" ref="A86:A87" si="30">A85+2</f>
        <v>46190</v>
      </c>
      <c r="B86" s="4" t="s">
        <v>56</v>
      </c>
      <c r="C86" s="4" t="s">
        <v>59</v>
      </c>
      <c r="D86" s="26">
        <v>8.0</v>
      </c>
      <c r="E86" s="2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3">
        <f t="shared" si="4"/>
        <v>0</v>
      </c>
      <c r="AO86" s="19">
        <f t="shared" si="24"/>
        <v>0</v>
      </c>
    </row>
    <row r="87">
      <c r="A87" s="36">
        <f t="shared" si="30"/>
        <v>46192</v>
      </c>
      <c r="B87" s="4" t="s">
        <v>60</v>
      </c>
      <c r="C87" s="4" t="s">
        <v>61</v>
      </c>
      <c r="D87" s="26">
        <v>12.5</v>
      </c>
      <c r="E87" s="2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3">
        <f t="shared" si="4"/>
        <v>0</v>
      </c>
      <c r="AO87" s="19">
        <f t="shared" si="24"/>
        <v>0</v>
      </c>
    </row>
    <row r="88">
      <c r="A88" s="36">
        <f>A87+3</f>
        <v>46195</v>
      </c>
      <c r="B88" s="4" t="s">
        <v>54</v>
      </c>
      <c r="C88" s="4" t="s">
        <v>59</v>
      </c>
      <c r="D88" s="26">
        <v>10.0</v>
      </c>
      <c r="E88" s="27"/>
      <c r="F88" s="5"/>
      <c r="G88" s="5"/>
      <c r="H88" s="5"/>
      <c r="I88" s="6"/>
      <c r="J88" s="6"/>
      <c r="K88" s="5"/>
      <c r="L88" s="5"/>
      <c r="M88" s="5"/>
      <c r="N88" s="5"/>
      <c r="O88" s="6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  <c r="AA88" s="6"/>
      <c r="AB88" s="6"/>
      <c r="AC88" s="6"/>
      <c r="AD88" s="5"/>
      <c r="AE88" s="6"/>
      <c r="AF88" s="6"/>
      <c r="AG88" s="5"/>
      <c r="AH88" s="5"/>
      <c r="AI88" s="6"/>
      <c r="AJ88" s="6"/>
      <c r="AK88" s="6"/>
      <c r="AL88" s="5"/>
      <c r="AM88" s="6"/>
      <c r="AN88" s="3">
        <f t="shared" si="4"/>
        <v>0</v>
      </c>
      <c r="AO88" s="19">
        <f t="shared" si="24"/>
        <v>0</v>
      </c>
      <c r="AP88" s="6"/>
    </row>
    <row r="89">
      <c r="A89" s="38">
        <f t="shared" ref="A89:A90" si="31">A88+2</f>
        <v>46197</v>
      </c>
      <c r="B89" s="4" t="s">
        <v>56</v>
      </c>
      <c r="C89" s="15" t="s">
        <v>71</v>
      </c>
      <c r="D89" s="26">
        <v>8.0</v>
      </c>
      <c r="E89" s="2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3">
        <f t="shared" si="4"/>
        <v>0</v>
      </c>
      <c r="AO89" s="19">
        <f t="shared" si="24"/>
        <v>0</v>
      </c>
    </row>
    <row r="90">
      <c r="A90" s="36">
        <f t="shared" si="31"/>
        <v>46199</v>
      </c>
      <c r="B90" s="4" t="s">
        <v>51</v>
      </c>
      <c r="C90" s="4" t="s">
        <v>70</v>
      </c>
      <c r="D90" s="26">
        <v>10.0</v>
      </c>
      <c r="E90" s="2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3">
        <f t="shared" si="4"/>
        <v>0</v>
      </c>
      <c r="AO90" s="19">
        <f t="shared" si="24"/>
        <v>0</v>
      </c>
    </row>
    <row r="91">
      <c r="A91" s="36">
        <f>A90+3</f>
        <v>46202</v>
      </c>
      <c r="B91" s="4" t="s">
        <v>54</v>
      </c>
      <c r="C91" s="4" t="s">
        <v>58</v>
      </c>
      <c r="D91" s="26">
        <v>10.0</v>
      </c>
      <c r="E91" s="2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3">
        <f t="shared" si="4"/>
        <v>0</v>
      </c>
      <c r="AO91" s="19">
        <f t="shared" si="24"/>
        <v>0</v>
      </c>
    </row>
    <row r="92">
      <c r="A92" s="37">
        <f t="shared" ref="A92:A93" si="32">A91+2</f>
        <v>46204</v>
      </c>
      <c r="B92" s="4" t="s">
        <v>56</v>
      </c>
      <c r="C92" s="4" t="s">
        <v>59</v>
      </c>
      <c r="D92" s="26">
        <v>8.0</v>
      </c>
      <c r="E92" s="2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3">
        <f t="shared" si="4"/>
        <v>0</v>
      </c>
      <c r="AO92" s="19">
        <f t="shared" si="24"/>
        <v>0</v>
      </c>
    </row>
    <row r="93">
      <c r="A93" s="36">
        <f t="shared" si="32"/>
        <v>46206</v>
      </c>
      <c r="B93" s="4" t="s">
        <v>60</v>
      </c>
      <c r="C93" s="4" t="s">
        <v>61</v>
      </c>
      <c r="D93" s="26">
        <v>12.5</v>
      </c>
      <c r="E93" s="2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3">
        <f t="shared" si="4"/>
        <v>0</v>
      </c>
      <c r="AO93" s="19">
        <f t="shared" si="24"/>
        <v>0</v>
      </c>
    </row>
    <row r="94">
      <c r="A94" s="36">
        <f>A93+3</f>
        <v>46209</v>
      </c>
      <c r="B94" s="4" t="s">
        <v>54</v>
      </c>
      <c r="C94" s="4" t="s">
        <v>59</v>
      </c>
      <c r="D94" s="26">
        <v>10.0</v>
      </c>
      <c r="E94" s="2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3">
        <f t="shared" si="4"/>
        <v>0</v>
      </c>
      <c r="AO94" s="19">
        <f t="shared" si="24"/>
        <v>0</v>
      </c>
    </row>
    <row r="95">
      <c r="A95" s="37">
        <f t="shared" ref="A95:A96" si="33">A94+2</f>
        <v>46211</v>
      </c>
      <c r="B95" s="4" t="s">
        <v>56</v>
      </c>
      <c r="C95" s="4" t="s">
        <v>62</v>
      </c>
      <c r="D95" s="26">
        <v>12.5</v>
      </c>
      <c r="E95" s="2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3">
        <f t="shared" si="4"/>
        <v>0</v>
      </c>
      <c r="AO95" s="19">
        <f t="shared" si="24"/>
        <v>0</v>
      </c>
    </row>
    <row r="96">
      <c r="A96" s="36">
        <f t="shared" si="33"/>
        <v>46213</v>
      </c>
      <c r="B96" s="5" t="s">
        <v>51</v>
      </c>
      <c r="C96" s="5" t="s">
        <v>70</v>
      </c>
      <c r="D96" s="33">
        <v>10.0</v>
      </c>
      <c r="E96" s="27"/>
      <c r="F96" s="5"/>
      <c r="G96" s="5"/>
      <c r="H96" s="5"/>
      <c r="I96" s="6"/>
      <c r="J96" s="6"/>
      <c r="K96" s="6"/>
      <c r="L96" s="5"/>
      <c r="M96" s="6"/>
      <c r="N96" s="6"/>
      <c r="O96" s="6"/>
      <c r="P96" s="5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5"/>
      <c r="AD96" s="6"/>
      <c r="AE96" s="6"/>
      <c r="AF96" s="6"/>
      <c r="AG96" s="6"/>
      <c r="AH96" s="5"/>
      <c r="AI96" s="6"/>
      <c r="AJ96" s="6"/>
      <c r="AK96" s="6"/>
      <c r="AL96" s="6"/>
      <c r="AM96" s="6"/>
      <c r="AN96" s="3">
        <f t="shared" si="4"/>
        <v>0</v>
      </c>
      <c r="AO96" s="19">
        <f t="shared" si="24"/>
        <v>0</v>
      </c>
      <c r="AP96" s="6"/>
    </row>
    <row r="97">
      <c r="A97" s="36">
        <f>A96+3</f>
        <v>46216</v>
      </c>
      <c r="B97" s="4" t="s">
        <v>54</v>
      </c>
      <c r="C97" s="4" t="s">
        <v>58</v>
      </c>
      <c r="D97" s="26">
        <v>10.0</v>
      </c>
      <c r="E97" s="27"/>
      <c r="F97" s="6"/>
      <c r="G97" s="5"/>
      <c r="H97" s="5"/>
      <c r="I97" s="5"/>
      <c r="J97" s="5"/>
      <c r="K97" s="6"/>
      <c r="L97" s="5"/>
      <c r="M97" s="6"/>
      <c r="N97" s="6"/>
      <c r="O97" s="5"/>
      <c r="P97" s="5"/>
      <c r="Q97" s="6"/>
      <c r="R97" s="6"/>
      <c r="S97" s="5"/>
      <c r="T97" s="5"/>
      <c r="U97" s="6"/>
      <c r="V97" s="5"/>
      <c r="W97" s="6"/>
      <c r="X97" s="6"/>
      <c r="Y97" s="6"/>
      <c r="Z97" s="6"/>
      <c r="AA97" s="6"/>
      <c r="AB97" s="5"/>
      <c r="AC97" s="5"/>
      <c r="AD97" s="6"/>
      <c r="AE97" s="6"/>
      <c r="AF97" s="6"/>
      <c r="AG97" s="5"/>
      <c r="AH97" s="5"/>
      <c r="AI97" s="6"/>
      <c r="AJ97" s="6"/>
      <c r="AK97" s="6"/>
      <c r="AL97" s="5"/>
      <c r="AM97" s="6"/>
      <c r="AN97" s="3">
        <f t="shared" si="4"/>
        <v>0</v>
      </c>
      <c r="AO97" s="19">
        <f t="shared" si="24"/>
        <v>0</v>
      </c>
      <c r="AP97" s="6"/>
    </row>
    <row r="98">
      <c r="A98" s="37">
        <f t="shared" ref="A98:A99" si="34">A97+2</f>
        <v>46218</v>
      </c>
      <c r="B98" s="5" t="s">
        <v>72</v>
      </c>
      <c r="C98" s="5" t="s">
        <v>59</v>
      </c>
      <c r="D98" s="33">
        <v>8.0</v>
      </c>
      <c r="E98" s="27"/>
      <c r="F98" s="6"/>
      <c r="G98" s="5"/>
      <c r="H98" s="5"/>
      <c r="I98" s="5"/>
      <c r="J98" s="5"/>
      <c r="K98" s="6"/>
      <c r="L98" s="5"/>
      <c r="M98" s="6"/>
      <c r="N98" s="6"/>
      <c r="O98" s="5"/>
      <c r="P98" s="5"/>
      <c r="Q98" s="6"/>
      <c r="R98" s="6"/>
      <c r="S98" s="5"/>
      <c r="T98" s="5"/>
      <c r="U98" s="6"/>
      <c r="V98" s="5"/>
      <c r="W98" s="6"/>
      <c r="X98" s="6"/>
      <c r="Y98" s="6"/>
      <c r="Z98" s="6"/>
      <c r="AA98" s="6"/>
      <c r="AB98" s="5"/>
      <c r="AC98" s="5"/>
      <c r="AD98" s="6"/>
      <c r="AE98" s="6"/>
      <c r="AF98" s="6"/>
      <c r="AG98" s="5"/>
      <c r="AH98" s="5"/>
      <c r="AI98" s="6"/>
      <c r="AJ98" s="6"/>
      <c r="AK98" s="6"/>
      <c r="AL98" s="5"/>
      <c r="AM98" s="6"/>
      <c r="AN98" s="3">
        <f t="shared" si="4"/>
        <v>0</v>
      </c>
      <c r="AO98" s="19">
        <f t="shared" si="24"/>
        <v>0</v>
      </c>
      <c r="AP98" s="6"/>
    </row>
    <row r="99">
      <c r="A99" s="36">
        <f t="shared" si="34"/>
        <v>46220</v>
      </c>
      <c r="B99" s="5" t="s">
        <v>60</v>
      </c>
      <c r="C99" s="5" t="s">
        <v>61</v>
      </c>
      <c r="D99" s="33">
        <v>12.5</v>
      </c>
      <c r="E99" s="27"/>
      <c r="F99" s="6"/>
      <c r="G99" s="5"/>
      <c r="H99" s="5"/>
      <c r="I99" s="5"/>
      <c r="J99" s="5"/>
      <c r="K99" s="6"/>
      <c r="L99" s="5"/>
      <c r="M99" s="6"/>
      <c r="N99" s="6"/>
      <c r="O99" s="5"/>
      <c r="P99" s="5"/>
      <c r="Q99" s="6"/>
      <c r="R99" s="6"/>
      <c r="S99" s="6"/>
      <c r="T99" s="6"/>
      <c r="U99" s="6"/>
      <c r="V99" s="6"/>
      <c r="W99" s="6"/>
      <c r="X99" s="5"/>
      <c r="Y99" s="6"/>
      <c r="Z99" s="6"/>
      <c r="AA99" s="6"/>
      <c r="AB99" s="6"/>
      <c r="AC99" s="5"/>
      <c r="AD99" s="6"/>
      <c r="AE99" s="6"/>
      <c r="AF99" s="6"/>
      <c r="AG99" s="5"/>
      <c r="AH99" s="5"/>
      <c r="AI99" s="6"/>
      <c r="AJ99" s="6"/>
      <c r="AK99" s="6"/>
      <c r="AL99" s="6"/>
      <c r="AM99" s="6"/>
      <c r="AN99" s="3">
        <f t="shared" si="4"/>
        <v>0</v>
      </c>
      <c r="AO99" s="19">
        <f t="shared" si="24"/>
        <v>0</v>
      </c>
      <c r="AP99" s="6"/>
    </row>
    <row r="100">
      <c r="A100" s="36">
        <f>A99+3</f>
        <v>46223</v>
      </c>
      <c r="B100" s="4" t="s">
        <v>54</v>
      </c>
      <c r="C100" s="4" t="s">
        <v>59</v>
      </c>
      <c r="D100" s="26">
        <v>10.0</v>
      </c>
      <c r="E100" s="27"/>
      <c r="F100" s="6"/>
      <c r="G100" s="6"/>
      <c r="H100" s="5"/>
      <c r="I100" s="5"/>
      <c r="J100" s="5"/>
      <c r="K100" s="5"/>
      <c r="L100" s="6"/>
      <c r="M100" s="5"/>
      <c r="N100" s="6"/>
      <c r="O100" s="5"/>
      <c r="P100" s="6"/>
      <c r="Q100" s="6"/>
      <c r="R100" s="6"/>
      <c r="S100" s="6"/>
      <c r="T100" s="6"/>
      <c r="U100" s="6"/>
      <c r="V100" s="5"/>
      <c r="W100" s="5"/>
      <c r="X100" s="5"/>
      <c r="Y100" s="6"/>
      <c r="Z100" s="6"/>
      <c r="AA100" s="6"/>
      <c r="AB100" s="6"/>
      <c r="AC100" s="5"/>
      <c r="AD100" s="5"/>
      <c r="AE100" s="6"/>
      <c r="AF100" s="6"/>
      <c r="AG100" s="5"/>
      <c r="AH100" s="5"/>
      <c r="AI100" s="6"/>
      <c r="AJ100" s="6"/>
      <c r="AK100" s="5"/>
      <c r="AL100" s="5"/>
      <c r="AM100" s="6"/>
      <c r="AN100" s="3">
        <f t="shared" si="4"/>
        <v>0</v>
      </c>
      <c r="AO100" s="19">
        <f t="shared" si="24"/>
        <v>0</v>
      </c>
      <c r="AP100" s="6"/>
    </row>
    <row r="101">
      <c r="A101" s="37">
        <f t="shared" ref="A101:A102" si="35">A100+2</f>
        <v>46225</v>
      </c>
      <c r="B101" s="5" t="s">
        <v>72</v>
      </c>
      <c r="C101" s="5" t="s">
        <v>57</v>
      </c>
      <c r="D101" s="33">
        <v>8.0</v>
      </c>
      <c r="E101" s="27"/>
      <c r="F101" s="6"/>
      <c r="G101" s="6"/>
      <c r="H101" s="5"/>
      <c r="I101" s="5"/>
      <c r="J101" s="5"/>
      <c r="K101" s="5"/>
      <c r="L101" s="6"/>
      <c r="M101" s="5"/>
      <c r="N101" s="6"/>
      <c r="O101" s="5"/>
      <c r="P101" s="6"/>
      <c r="Q101" s="6"/>
      <c r="R101" s="6"/>
      <c r="S101" s="6"/>
      <c r="T101" s="6"/>
      <c r="U101" s="6"/>
      <c r="V101" s="5"/>
      <c r="W101" s="5"/>
      <c r="X101" s="5"/>
      <c r="Y101" s="6"/>
      <c r="Z101" s="6"/>
      <c r="AA101" s="6"/>
      <c r="AB101" s="6"/>
      <c r="AC101" s="5"/>
      <c r="AD101" s="5"/>
      <c r="AE101" s="6"/>
      <c r="AF101" s="6"/>
      <c r="AG101" s="5"/>
      <c r="AH101" s="5"/>
      <c r="AI101" s="6"/>
      <c r="AJ101" s="6"/>
      <c r="AK101" s="5"/>
      <c r="AL101" s="5"/>
      <c r="AM101" s="6"/>
      <c r="AN101" s="3">
        <f t="shared" si="4"/>
        <v>0</v>
      </c>
      <c r="AO101" s="19">
        <f t="shared" si="24"/>
        <v>0</v>
      </c>
      <c r="AP101" s="6"/>
    </row>
    <row r="102">
      <c r="A102" s="36">
        <f t="shared" si="35"/>
        <v>46227</v>
      </c>
      <c r="B102" s="5" t="s">
        <v>51</v>
      </c>
      <c r="C102" s="5" t="s">
        <v>70</v>
      </c>
      <c r="D102" s="33">
        <v>10.0</v>
      </c>
      <c r="E102" s="27"/>
      <c r="F102" s="6"/>
      <c r="G102" s="6"/>
      <c r="H102" s="5"/>
      <c r="I102" s="6"/>
      <c r="J102" s="6"/>
      <c r="K102" s="6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5"/>
      <c r="AC102" s="6"/>
      <c r="AD102" s="6"/>
      <c r="AE102" s="6"/>
      <c r="AF102" s="6"/>
      <c r="AG102" s="5"/>
      <c r="AH102" s="5"/>
      <c r="AI102" s="6"/>
      <c r="AJ102" s="6"/>
      <c r="AK102" s="6"/>
      <c r="AL102" s="6"/>
      <c r="AM102" s="6"/>
      <c r="AN102" s="3">
        <f t="shared" si="4"/>
        <v>0</v>
      </c>
      <c r="AO102" s="19">
        <f t="shared" si="24"/>
        <v>0</v>
      </c>
      <c r="AP102" s="6"/>
    </row>
    <row r="103">
      <c r="A103" s="36">
        <f>A102+3</f>
        <v>46230</v>
      </c>
      <c r="B103" s="4" t="s">
        <v>54</v>
      </c>
      <c r="C103" s="4" t="s">
        <v>58</v>
      </c>
      <c r="D103" s="26">
        <v>10.0</v>
      </c>
      <c r="E103" s="27"/>
      <c r="F103" s="6"/>
      <c r="G103" s="5"/>
      <c r="H103" s="5"/>
      <c r="I103" s="6"/>
      <c r="J103" s="6"/>
      <c r="K103" s="6"/>
      <c r="L103" s="5"/>
      <c r="M103" s="6"/>
      <c r="N103" s="6"/>
      <c r="O103" s="5"/>
      <c r="P103" s="5"/>
      <c r="Q103" s="6"/>
      <c r="R103" s="6"/>
      <c r="S103" s="5"/>
      <c r="T103" s="5"/>
      <c r="U103" s="6"/>
      <c r="V103" s="5"/>
      <c r="W103" s="6"/>
      <c r="X103" s="6"/>
      <c r="Y103" s="5"/>
      <c r="Z103" s="6"/>
      <c r="AA103" s="6"/>
      <c r="AB103" s="6"/>
      <c r="AC103" s="5"/>
      <c r="AD103" s="6"/>
      <c r="AE103" s="6"/>
      <c r="AF103" s="6"/>
      <c r="AG103" s="5"/>
      <c r="AH103" s="5"/>
      <c r="AI103" s="6"/>
      <c r="AJ103" s="6"/>
      <c r="AK103" s="5"/>
      <c r="AL103" s="5"/>
      <c r="AM103" s="6"/>
      <c r="AN103" s="3">
        <f t="shared" si="4"/>
        <v>0</v>
      </c>
      <c r="AO103" s="19">
        <f t="shared" si="24"/>
        <v>0</v>
      </c>
      <c r="AP103" s="6"/>
    </row>
    <row r="104">
      <c r="A104" s="37">
        <f t="shared" ref="A104:A105" si="36">A103+2</f>
        <v>46232</v>
      </c>
      <c r="B104" s="5" t="s">
        <v>73</v>
      </c>
      <c r="C104" s="5" t="s">
        <v>74</v>
      </c>
      <c r="D104" s="33">
        <v>8.0</v>
      </c>
      <c r="E104" s="27"/>
      <c r="F104" s="6"/>
      <c r="G104" s="5"/>
      <c r="H104" s="5"/>
      <c r="I104" s="6"/>
      <c r="J104" s="6"/>
      <c r="K104" s="6"/>
      <c r="L104" s="5"/>
      <c r="M104" s="6"/>
      <c r="N104" s="6"/>
      <c r="O104" s="5"/>
      <c r="P104" s="5"/>
      <c r="Q104" s="6"/>
      <c r="R104" s="6"/>
      <c r="S104" s="5"/>
      <c r="T104" s="5"/>
      <c r="U104" s="6"/>
      <c r="V104" s="5"/>
      <c r="W104" s="6"/>
      <c r="X104" s="6"/>
      <c r="Y104" s="5"/>
      <c r="Z104" s="6"/>
      <c r="AA104" s="6"/>
      <c r="AB104" s="6"/>
      <c r="AC104" s="5"/>
      <c r="AD104" s="6"/>
      <c r="AE104" s="6"/>
      <c r="AF104" s="6"/>
      <c r="AG104" s="5"/>
      <c r="AH104" s="5"/>
      <c r="AI104" s="6"/>
      <c r="AJ104" s="6"/>
      <c r="AK104" s="5"/>
      <c r="AL104" s="5"/>
      <c r="AM104" s="6"/>
      <c r="AN104" s="3">
        <f t="shared" si="4"/>
        <v>0</v>
      </c>
      <c r="AO104" s="19">
        <f t="shared" si="24"/>
        <v>0</v>
      </c>
      <c r="AP104" s="6"/>
    </row>
    <row r="105">
      <c r="A105" s="36">
        <f t="shared" si="36"/>
        <v>46234</v>
      </c>
      <c r="B105" s="5" t="s">
        <v>60</v>
      </c>
      <c r="C105" s="5" t="s">
        <v>61</v>
      </c>
      <c r="D105" s="33">
        <v>12.5</v>
      </c>
      <c r="E105" s="27"/>
      <c r="F105" s="6"/>
      <c r="G105" s="5"/>
      <c r="H105" s="5"/>
      <c r="I105" s="6"/>
      <c r="J105" s="6"/>
      <c r="K105" s="6"/>
      <c r="L105" s="5"/>
      <c r="M105" s="6"/>
      <c r="N105" s="6"/>
      <c r="O105" s="6"/>
      <c r="P105" s="5"/>
      <c r="Q105" s="6"/>
      <c r="R105" s="6"/>
      <c r="S105" s="6"/>
      <c r="T105" s="6"/>
      <c r="U105" s="6"/>
      <c r="V105" s="6"/>
      <c r="W105" s="6"/>
      <c r="X105" s="5"/>
      <c r="Y105" s="5"/>
      <c r="Z105" s="6"/>
      <c r="AA105" s="6"/>
      <c r="AB105" s="6"/>
      <c r="AC105" s="5"/>
      <c r="AD105" s="6"/>
      <c r="AE105" s="6"/>
      <c r="AF105" s="6"/>
      <c r="AG105" s="5"/>
      <c r="AH105" s="5"/>
      <c r="AI105" s="6"/>
      <c r="AJ105" s="6"/>
      <c r="AK105" s="5"/>
      <c r="AL105" s="6"/>
      <c r="AM105" s="6"/>
      <c r="AN105" s="3">
        <f t="shared" si="4"/>
        <v>0</v>
      </c>
      <c r="AO105" s="19">
        <f t="shared" si="24"/>
        <v>0</v>
      </c>
      <c r="AP105" s="6"/>
    </row>
    <row r="106">
      <c r="A106" s="36">
        <f>A105+3</f>
        <v>46237</v>
      </c>
      <c r="B106" s="4" t="s">
        <v>54</v>
      </c>
      <c r="C106" s="4" t="s">
        <v>59</v>
      </c>
      <c r="D106" s="26">
        <v>10.0</v>
      </c>
      <c r="E106" s="27"/>
      <c r="F106" s="6"/>
      <c r="G106" s="5"/>
      <c r="H106" s="5"/>
      <c r="I106" s="6"/>
      <c r="J106" s="6"/>
      <c r="K106" s="5"/>
      <c r="L106" s="5"/>
      <c r="M106" s="6"/>
      <c r="N106" s="5"/>
      <c r="O106" s="5"/>
      <c r="P106" s="5"/>
      <c r="Q106" s="6"/>
      <c r="R106" s="6"/>
      <c r="S106" s="5"/>
      <c r="T106" s="5"/>
      <c r="U106" s="6"/>
      <c r="V106" s="5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5"/>
      <c r="AH106" s="5"/>
      <c r="AI106" s="6"/>
      <c r="AJ106" s="6"/>
      <c r="AK106" s="5"/>
      <c r="AL106" s="5"/>
      <c r="AM106" s="6"/>
      <c r="AN106" s="3">
        <f t="shared" si="4"/>
        <v>0</v>
      </c>
      <c r="AO106" s="19">
        <f t="shared" si="24"/>
        <v>0</v>
      </c>
      <c r="AP106" s="6"/>
    </row>
    <row r="107">
      <c r="A107" s="37">
        <f t="shared" ref="A107:A108" si="37">A106+2</f>
        <v>46239</v>
      </c>
      <c r="B107" s="5" t="s">
        <v>72</v>
      </c>
      <c r="C107" s="5" t="s">
        <v>62</v>
      </c>
      <c r="D107" s="33">
        <v>12.5</v>
      </c>
      <c r="E107" s="27"/>
      <c r="F107" s="6"/>
      <c r="G107" s="5"/>
      <c r="H107" s="5"/>
      <c r="I107" s="6"/>
      <c r="J107" s="6"/>
      <c r="K107" s="5"/>
      <c r="L107" s="5"/>
      <c r="M107" s="6"/>
      <c r="N107" s="5"/>
      <c r="O107" s="5"/>
      <c r="P107" s="5"/>
      <c r="Q107" s="6"/>
      <c r="R107" s="6"/>
      <c r="S107" s="5"/>
      <c r="T107" s="5"/>
      <c r="U107" s="6"/>
      <c r="V107" s="5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5"/>
      <c r="AH107" s="5"/>
      <c r="AI107" s="6"/>
      <c r="AJ107" s="6"/>
      <c r="AK107" s="5"/>
      <c r="AL107" s="5"/>
      <c r="AM107" s="6"/>
      <c r="AN107" s="3">
        <f t="shared" si="4"/>
        <v>0</v>
      </c>
      <c r="AO107" s="19">
        <f t="shared" si="24"/>
        <v>0</v>
      </c>
      <c r="AP107" s="6"/>
    </row>
    <row r="108">
      <c r="A108" s="36">
        <f t="shared" si="37"/>
        <v>46241</v>
      </c>
      <c r="B108" s="5" t="s">
        <v>51</v>
      </c>
      <c r="C108" s="5" t="s">
        <v>70</v>
      </c>
      <c r="D108" s="33">
        <v>10.0</v>
      </c>
      <c r="E108" s="27"/>
      <c r="F108" s="6"/>
      <c r="G108" s="6"/>
      <c r="H108" s="5"/>
      <c r="I108" s="6"/>
      <c r="J108" s="6"/>
      <c r="K108" s="6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/>
      <c r="Z108" s="6"/>
      <c r="AA108" s="6"/>
      <c r="AB108" s="6"/>
      <c r="AC108" s="6"/>
      <c r="AD108" s="6"/>
      <c r="AE108" s="6"/>
      <c r="AF108" s="6"/>
      <c r="AG108" s="5"/>
      <c r="AH108" s="5"/>
      <c r="AI108" s="6"/>
      <c r="AJ108" s="6"/>
      <c r="AK108" s="6"/>
      <c r="AL108" s="6"/>
      <c r="AM108" s="6"/>
      <c r="AN108" s="3">
        <f t="shared" si="4"/>
        <v>0</v>
      </c>
      <c r="AO108" s="19">
        <f t="shared" si="24"/>
        <v>0</v>
      </c>
      <c r="AP108" s="6"/>
    </row>
    <row r="109">
      <c r="A109" s="36">
        <f>A108+3</f>
        <v>46244</v>
      </c>
      <c r="B109" s="4" t="s">
        <v>54</v>
      </c>
      <c r="C109" s="4" t="s">
        <v>58</v>
      </c>
      <c r="D109" s="26">
        <v>10.0</v>
      </c>
      <c r="E109" s="2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3">
        <f t="shared" si="4"/>
        <v>0</v>
      </c>
      <c r="AO109" s="19">
        <f t="shared" si="24"/>
        <v>0</v>
      </c>
    </row>
    <row r="110">
      <c r="A110" s="37">
        <f t="shared" ref="A110:A111" si="38">A109+2</f>
        <v>46246</v>
      </c>
      <c r="B110" s="4" t="s">
        <v>56</v>
      </c>
      <c r="C110" s="4" t="s">
        <v>59</v>
      </c>
      <c r="D110" s="26">
        <v>8.0</v>
      </c>
      <c r="E110" s="2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3">
        <f t="shared" si="4"/>
        <v>0</v>
      </c>
      <c r="AO110" s="19">
        <f t="shared" si="24"/>
        <v>0</v>
      </c>
    </row>
    <row r="111">
      <c r="A111" s="36">
        <f t="shared" si="38"/>
        <v>46248</v>
      </c>
      <c r="B111" s="4" t="s">
        <v>60</v>
      </c>
      <c r="C111" s="4" t="s">
        <v>61</v>
      </c>
      <c r="D111" s="26">
        <v>12.5</v>
      </c>
      <c r="E111" s="2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3">
        <f t="shared" si="4"/>
        <v>0</v>
      </c>
      <c r="AO111" s="19">
        <f t="shared" si="24"/>
        <v>0</v>
      </c>
    </row>
    <row r="112">
      <c r="A112" s="36">
        <f>A111+3</f>
        <v>46251</v>
      </c>
      <c r="B112" s="4" t="s">
        <v>54</v>
      </c>
      <c r="C112" s="4" t="s">
        <v>59</v>
      </c>
      <c r="D112" s="26">
        <v>10.0</v>
      </c>
      <c r="E112" s="2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3">
        <f t="shared" si="4"/>
        <v>0</v>
      </c>
      <c r="AO112" s="19">
        <f t="shared" si="24"/>
        <v>0</v>
      </c>
    </row>
    <row r="113">
      <c r="A113" s="37">
        <f t="shared" ref="A113:A114" si="39">A112+2</f>
        <v>46253</v>
      </c>
      <c r="B113" s="4" t="s">
        <v>56</v>
      </c>
      <c r="C113" s="4" t="s">
        <v>57</v>
      </c>
      <c r="D113" s="26">
        <v>8.0</v>
      </c>
      <c r="E113" s="2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3">
        <f t="shared" si="4"/>
        <v>0</v>
      </c>
      <c r="AO113" s="19">
        <f t="shared" si="24"/>
        <v>0</v>
      </c>
    </row>
    <row r="114">
      <c r="A114" s="36">
        <f t="shared" si="39"/>
        <v>46255</v>
      </c>
      <c r="B114" s="4" t="s">
        <v>51</v>
      </c>
      <c r="C114" s="4" t="s">
        <v>70</v>
      </c>
      <c r="D114" s="26">
        <v>10.0</v>
      </c>
      <c r="E114" s="2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3">
        <f t="shared" si="4"/>
        <v>0</v>
      </c>
      <c r="AO114" s="19">
        <f t="shared" si="24"/>
        <v>0</v>
      </c>
    </row>
    <row r="115">
      <c r="A115" s="36">
        <f>A114+3</f>
        <v>46258</v>
      </c>
      <c r="B115" s="4" t="s">
        <v>54</v>
      </c>
      <c r="C115" s="4" t="s">
        <v>58</v>
      </c>
      <c r="D115" s="26">
        <v>10.0</v>
      </c>
      <c r="E115" s="2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3">
        <f t="shared" si="4"/>
        <v>0</v>
      </c>
      <c r="AO115" s="19">
        <f t="shared" si="24"/>
        <v>0</v>
      </c>
    </row>
    <row r="116">
      <c r="A116" s="37">
        <f t="shared" ref="A116:A117" si="40">A115+2</f>
        <v>46260</v>
      </c>
      <c r="B116" s="4" t="s">
        <v>56</v>
      </c>
      <c r="C116" s="4" t="s">
        <v>59</v>
      </c>
      <c r="D116" s="26">
        <v>8.0</v>
      </c>
      <c r="E116" s="2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3">
        <f t="shared" si="4"/>
        <v>0</v>
      </c>
      <c r="AO116" s="19">
        <f t="shared" si="24"/>
        <v>0</v>
      </c>
    </row>
    <row r="117">
      <c r="A117" s="36">
        <f t="shared" si="40"/>
        <v>46262</v>
      </c>
      <c r="B117" s="4" t="s">
        <v>60</v>
      </c>
      <c r="C117" s="4" t="s">
        <v>61</v>
      </c>
      <c r="D117" s="26">
        <v>12.5</v>
      </c>
      <c r="E117" s="2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3">
        <f t="shared" si="4"/>
        <v>0</v>
      </c>
      <c r="AO117" s="19">
        <f t="shared" si="24"/>
        <v>0</v>
      </c>
    </row>
    <row r="118">
      <c r="A118" s="36">
        <f>A117+3</f>
        <v>46265</v>
      </c>
      <c r="B118" s="4" t="s">
        <v>54</v>
      </c>
      <c r="C118" s="4" t="s">
        <v>59</v>
      </c>
      <c r="D118" s="26">
        <v>10.0</v>
      </c>
      <c r="E118" s="2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3">
        <f t="shared" si="4"/>
        <v>0</v>
      </c>
      <c r="AO118" s="19">
        <f t="shared" si="24"/>
        <v>0</v>
      </c>
    </row>
    <row r="119">
      <c r="A119" s="37">
        <f t="shared" ref="A119:A120" si="41">A118+2</f>
        <v>46267</v>
      </c>
      <c r="B119" s="4" t="s">
        <v>56</v>
      </c>
      <c r="C119" s="4" t="s">
        <v>62</v>
      </c>
      <c r="D119" s="26">
        <v>12.5</v>
      </c>
      <c r="E119" s="2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3">
        <f t="shared" si="4"/>
        <v>0</v>
      </c>
      <c r="AO119" s="19">
        <f t="shared" si="24"/>
        <v>0</v>
      </c>
    </row>
    <row r="120">
      <c r="A120" s="36">
        <f t="shared" si="41"/>
        <v>46269</v>
      </c>
      <c r="B120" s="4" t="s">
        <v>51</v>
      </c>
      <c r="C120" s="4" t="s">
        <v>70</v>
      </c>
      <c r="D120" s="26">
        <v>10.0</v>
      </c>
      <c r="E120" s="2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3">
        <f t="shared" si="4"/>
        <v>0</v>
      </c>
      <c r="AO120" s="19">
        <f t="shared" si="24"/>
        <v>0</v>
      </c>
    </row>
    <row r="121">
      <c r="A121" s="36">
        <f>A120+3</f>
        <v>46272</v>
      </c>
      <c r="B121" s="4" t="s">
        <v>54</v>
      </c>
      <c r="C121" s="4" t="s">
        <v>58</v>
      </c>
      <c r="D121" s="26">
        <v>10.0</v>
      </c>
      <c r="E121" s="2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3">
        <f t="shared" si="4"/>
        <v>0</v>
      </c>
      <c r="AO121" s="19">
        <f t="shared" si="24"/>
        <v>0</v>
      </c>
    </row>
    <row r="122">
      <c r="A122" s="37">
        <f t="shared" ref="A122:A123" si="42">A121+2</f>
        <v>46274</v>
      </c>
      <c r="B122" s="4" t="s">
        <v>56</v>
      </c>
      <c r="C122" s="4" t="s">
        <v>59</v>
      </c>
      <c r="D122" s="26">
        <v>8.0</v>
      </c>
      <c r="E122" s="2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3">
        <f t="shared" si="4"/>
        <v>0</v>
      </c>
      <c r="AO122" s="19">
        <f t="shared" si="24"/>
        <v>0</v>
      </c>
    </row>
    <row r="123">
      <c r="A123" s="36">
        <f t="shared" si="42"/>
        <v>46276</v>
      </c>
      <c r="B123" s="4" t="s">
        <v>60</v>
      </c>
      <c r="C123" s="4" t="s">
        <v>61</v>
      </c>
      <c r="D123" s="26">
        <v>12.5</v>
      </c>
      <c r="E123" s="2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3">
        <f t="shared" si="4"/>
        <v>0</v>
      </c>
      <c r="AO123" s="19">
        <f t="shared" si="24"/>
        <v>0</v>
      </c>
    </row>
    <row r="124">
      <c r="A124" s="36">
        <f>A123+3</f>
        <v>46279</v>
      </c>
      <c r="B124" s="4" t="s">
        <v>54</v>
      </c>
      <c r="C124" s="4" t="s">
        <v>59</v>
      </c>
      <c r="D124" s="26">
        <v>10.0</v>
      </c>
      <c r="E124" s="2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3">
        <f t="shared" si="4"/>
        <v>0</v>
      </c>
      <c r="AO124" s="19">
        <f t="shared" si="24"/>
        <v>0</v>
      </c>
    </row>
    <row r="125">
      <c r="A125" s="37">
        <f t="shared" ref="A125:A126" si="43">A124+2</f>
        <v>46281</v>
      </c>
      <c r="B125" s="4" t="s">
        <v>56</v>
      </c>
      <c r="C125" s="4" t="s">
        <v>57</v>
      </c>
      <c r="D125" s="26">
        <v>8.0</v>
      </c>
      <c r="E125" s="2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3">
        <f t="shared" si="4"/>
        <v>0</v>
      </c>
      <c r="AO125" s="19">
        <f t="shared" si="24"/>
        <v>0</v>
      </c>
    </row>
    <row r="126">
      <c r="A126" s="36">
        <f t="shared" si="43"/>
        <v>46283</v>
      </c>
      <c r="B126" s="4" t="s">
        <v>51</v>
      </c>
      <c r="C126" s="4" t="s">
        <v>70</v>
      </c>
      <c r="D126" s="26">
        <v>10.0</v>
      </c>
      <c r="E126" s="2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3">
        <f t="shared" si="4"/>
        <v>0</v>
      </c>
      <c r="AO126" s="19">
        <f t="shared" si="24"/>
        <v>0</v>
      </c>
    </row>
    <row r="127">
      <c r="A127" s="39">
        <f>A126+1</f>
        <v>46284</v>
      </c>
      <c r="B127" s="4" t="s">
        <v>56</v>
      </c>
      <c r="C127" s="4" t="s">
        <v>75</v>
      </c>
      <c r="D127" s="26">
        <v>21.1</v>
      </c>
      <c r="E127" s="2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3">
        <f t="shared" si="4"/>
        <v>0</v>
      </c>
      <c r="AO127" s="19">
        <f t="shared" si="24"/>
        <v>0</v>
      </c>
    </row>
    <row r="128">
      <c r="A128" s="30">
        <f t="shared" ref="A128:A130" si="44">A127+2</f>
        <v>46286</v>
      </c>
      <c r="B128" s="4" t="s">
        <v>54</v>
      </c>
      <c r="C128" s="4" t="s">
        <v>58</v>
      </c>
      <c r="D128" s="26">
        <v>10.0</v>
      </c>
      <c r="E128" s="2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3">
        <f t="shared" si="4"/>
        <v>0</v>
      </c>
      <c r="AO128" s="19">
        <f t="shared" si="24"/>
        <v>0</v>
      </c>
    </row>
    <row r="129">
      <c r="A129" s="28">
        <f t="shared" si="44"/>
        <v>46288</v>
      </c>
      <c r="B129" s="4" t="s">
        <v>56</v>
      </c>
      <c r="C129" s="4" t="s">
        <v>59</v>
      </c>
      <c r="D129" s="26">
        <v>8.0</v>
      </c>
      <c r="E129" s="2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3">
        <f t="shared" si="4"/>
        <v>0</v>
      </c>
      <c r="AO129" s="19">
        <f t="shared" si="24"/>
        <v>0</v>
      </c>
    </row>
    <row r="130">
      <c r="A130" s="30">
        <f t="shared" si="44"/>
        <v>46290</v>
      </c>
      <c r="B130" s="4" t="s">
        <v>60</v>
      </c>
      <c r="C130" s="4" t="s">
        <v>61</v>
      </c>
      <c r="D130" s="26">
        <v>12.5</v>
      </c>
      <c r="E130" s="2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3">
        <f t="shared" si="4"/>
        <v>0</v>
      </c>
      <c r="AO130" s="19">
        <f t="shared" si="24"/>
        <v>0</v>
      </c>
    </row>
    <row r="131">
      <c r="A131" s="30">
        <f>A130+3</f>
        <v>46293</v>
      </c>
      <c r="B131" s="4" t="s">
        <v>54</v>
      </c>
      <c r="C131" s="4" t="s">
        <v>59</v>
      </c>
      <c r="D131" s="26">
        <v>10.0</v>
      </c>
      <c r="E131" s="2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3">
        <f t="shared" si="4"/>
        <v>0</v>
      </c>
      <c r="AO131" s="19">
        <f t="shared" si="24"/>
        <v>0</v>
      </c>
    </row>
    <row r="132">
      <c r="A132" s="28">
        <f t="shared" ref="A132:A133" si="45">A131+2</f>
        <v>46295</v>
      </c>
      <c r="B132" s="4" t="s">
        <v>56</v>
      </c>
      <c r="C132" s="4" t="s">
        <v>62</v>
      </c>
      <c r="D132" s="26">
        <v>12.5</v>
      </c>
      <c r="E132" s="2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3">
        <f t="shared" si="4"/>
        <v>0</v>
      </c>
      <c r="AO132" s="19">
        <f t="shared" si="24"/>
        <v>0</v>
      </c>
    </row>
    <row r="133">
      <c r="A133" s="30">
        <f t="shared" si="45"/>
        <v>46297</v>
      </c>
      <c r="B133" s="4" t="s">
        <v>51</v>
      </c>
      <c r="C133" s="4" t="s">
        <v>52</v>
      </c>
      <c r="D133" s="26">
        <v>7.0</v>
      </c>
      <c r="E133" s="2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3">
        <f t="shared" si="4"/>
        <v>0</v>
      </c>
      <c r="AO133" s="19">
        <f t="shared" si="24"/>
        <v>0</v>
      </c>
    </row>
    <row r="134">
      <c r="A134" s="30">
        <f>A133+3</f>
        <v>46300</v>
      </c>
      <c r="B134" s="4" t="s">
        <v>54</v>
      </c>
      <c r="C134" s="4" t="s">
        <v>58</v>
      </c>
      <c r="D134" s="26">
        <v>10.0</v>
      </c>
      <c r="E134" s="2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3">
        <f t="shared" si="4"/>
        <v>0</v>
      </c>
      <c r="AO134" s="19">
        <f t="shared" si="24"/>
        <v>0</v>
      </c>
    </row>
    <row r="135">
      <c r="A135" s="28">
        <f t="shared" ref="A135:A136" si="46">A134+2</f>
        <v>46302</v>
      </c>
      <c r="B135" s="4" t="s">
        <v>56</v>
      </c>
      <c r="C135" s="4" t="s">
        <v>59</v>
      </c>
      <c r="D135" s="26">
        <v>8.0</v>
      </c>
      <c r="E135" s="2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3">
        <f t="shared" si="4"/>
        <v>0</v>
      </c>
      <c r="AO135" s="19">
        <f t="shared" si="24"/>
        <v>0</v>
      </c>
    </row>
    <row r="136">
      <c r="A136" s="30">
        <f t="shared" si="46"/>
        <v>46304</v>
      </c>
      <c r="B136" s="4" t="s">
        <v>51</v>
      </c>
      <c r="C136" s="4" t="s">
        <v>52</v>
      </c>
      <c r="D136" s="26">
        <v>7.0</v>
      </c>
      <c r="E136" s="2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3">
        <f t="shared" si="4"/>
        <v>0</v>
      </c>
      <c r="AO136" s="19">
        <f t="shared" si="24"/>
        <v>0</v>
      </c>
    </row>
    <row r="137">
      <c r="A137" s="30">
        <f>A136+3</f>
        <v>46307</v>
      </c>
      <c r="B137" s="4" t="s">
        <v>54</v>
      </c>
      <c r="C137" s="4" t="s">
        <v>59</v>
      </c>
      <c r="D137" s="26">
        <v>10.0</v>
      </c>
      <c r="E137" s="2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3">
        <f t="shared" si="4"/>
        <v>0</v>
      </c>
      <c r="AO137" s="19">
        <f t="shared" si="24"/>
        <v>0</v>
      </c>
    </row>
    <row r="138">
      <c r="A138" s="28">
        <f t="shared" ref="A138:A139" si="47">A137+2</f>
        <v>46309</v>
      </c>
      <c r="B138" s="4" t="s">
        <v>56</v>
      </c>
      <c r="C138" s="4" t="s">
        <v>57</v>
      </c>
      <c r="D138" s="26">
        <v>8.0</v>
      </c>
      <c r="E138" s="2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3">
        <f t="shared" si="4"/>
        <v>0</v>
      </c>
      <c r="AO138" s="19">
        <f t="shared" si="24"/>
        <v>0</v>
      </c>
    </row>
    <row r="139">
      <c r="A139" s="30">
        <f t="shared" si="47"/>
        <v>46311</v>
      </c>
      <c r="B139" s="4" t="s">
        <v>51</v>
      </c>
      <c r="C139" s="4" t="s">
        <v>52</v>
      </c>
      <c r="D139" s="26">
        <v>7.0</v>
      </c>
      <c r="E139" s="2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3">
        <f t="shared" si="4"/>
        <v>0</v>
      </c>
      <c r="AO139" s="19">
        <f t="shared" si="24"/>
        <v>0</v>
      </c>
    </row>
    <row r="140">
      <c r="A140" s="30">
        <f>A139+3</f>
        <v>46314</v>
      </c>
      <c r="B140" s="4" t="s">
        <v>54</v>
      </c>
      <c r="C140" s="4" t="s">
        <v>58</v>
      </c>
      <c r="D140" s="26">
        <v>10.0</v>
      </c>
      <c r="E140" s="27"/>
      <c r="F140" s="5"/>
      <c r="G140" s="5"/>
      <c r="H140" s="5"/>
      <c r="I140" s="6"/>
      <c r="J140" s="6"/>
      <c r="K140" s="5"/>
      <c r="L140" s="5"/>
      <c r="M140" s="5"/>
      <c r="N140" s="6"/>
      <c r="O140" s="6"/>
      <c r="P140" s="5"/>
      <c r="Q140" s="6"/>
      <c r="R140" s="6"/>
      <c r="S140" s="5"/>
      <c r="T140" s="5"/>
      <c r="U140" s="5"/>
      <c r="V140" s="5"/>
      <c r="W140" s="5"/>
      <c r="X140" s="5"/>
      <c r="Y140" s="5"/>
      <c r="Z140" s="6"/>
      <c r="AA140" s="6"/>
      <c r="AB140" s="6"/>
      <c r="AC140" s="6"/>
      <c r="AD140" s="6"/>
      <c r="AE140" s="6"/>
      <c r="AF140" s="6"/>
      <c r="AG140" s="5"/>
      <c r="AH140" s="5"/>
      <c r="AI140" s="6"/>
      <c r="AJ140" s="6"/>
      <c r="AK140" s="5"/>
      <c r="AL140" s="6"/>
      <c r="AM140" s="6"/>
      <c r="AN140" s="3">
        <f t="shared" si="4"/>
        <v>0</v>
      </c>
      <c r="AO140" s="19">
        <f t="shared" si="24"/>
        <v>0</v>
      </c>
      <c r="AP140" s="6"/>
    </row>
    <row r="141">
      <c r="A141" s="28">
        <f t="shared" ref="A141:A142" si="48">A140+2</f>
        <v>46316</v>
      </c>
      <c r="B141" s="5" t="s">
        <v>56</v>
      </c>
      <c r="C141" s="5" t="s">
        <v>59</v>
      </c>
      <c r="D141" s="33">
        <v>8.0</v>
      </c>
      <c r="E141" s="27"/>
      <c r="F141" s="5"/>
      <c r="G141" s="5"/>
      <c r="H141" s="5"/>
      <c r="I141" s="6"/>
      <c r="J141" s="6"/>
      <c r="K141" s="5"/>
      <c r="L141" s="5"/>
      <c r="M141" s="5"/>
      <c r="N141" s="6"/>
      <c r="O141" s="6"/>
      <c r="P141" s="5"/>
      <c r="Q141" s="6"/>
      <c r="R141" s="6"/>
      <c r="S141" s="5"/>
      <c r="T141" s="5"/>
      <c r="U141" s="5"/>
      <c r="V141" s="5"/>
      <c r="W141" s="5"/>
      <c r="X141" s="5"/>
      <c r="Y141" s="5"/>
      <c r="Z141" s="6"/>
      <c r="AA141" s="6"/>
      <c r="AB141" s="6"/>
      <c r="AC141" s="6"/>
      <c r="AD141" s="6"/>
      <c r="AE141" s="6"/>
      <c r="AF141" s="6"/>
      <c r="AG141" s="5"/>
      <c r="AH141" s="5"/>
      <c r="AI141" s="6"/>
      <c r="AJ141" s="6"/>
      <c r="AK141" s="5"/>
      <c r="AL141" s="6"/>
      <c r="AM141" s="6"/>
      <c r="AN141" s="3">
        <f t="shared" si="4"/>
        <v>0</v>
      </c>
      <c r="AO141" s="19">
        <f t="shared" si="24"/>
        <v>0</v>
      </c>
      <c r="AP141" s="6"/>
    </row>
    <row r="142">
      <c r="A142" s="30">
        <f t="shared" si="48"/>
        <v>46318</v>
      </c>
      <c r="B142" s="5" t="s">
        <v>60</v>
      </c>
      <c r="C142" s="5" t="s">
        <v>61</v>
      </c>
      <c r="D142" s="33">
        <v>12.5</v>
      </c>
      <c r="E142" s="27"/>
      <c r="F142" s="5"/>
      <c r="G142" s="5"/>
      <c r="H142" s="5"/>
      <c r="I142" s="6"/>
      <c r="J142" s="6"/>
      <c r="K142" s="6"/>
      <c r="L142" s="5"/>
      <c r="M142" s="6"/>
      <c r="N142" s="6"/>
      <c r="O142" s="6"/>
      <c r="P142" s="5"/>
      <c r="Q142" s="6"/>
      <c r="R142" s="6"/>
      <c r="S142" s="6"/>
      <c r="T142" s="6"/>
      <c r="U142" s="6"/>
      <c r="V142" s="6"/>
      <c r="W142" s="6"/>
      <c r="X142" s="6"/>
      <c r="Y142" s="5"/>
      <c r="Z142" s="6"/>
      <c r="AA142" s="6"/>
      <c r="AB142" s="6"/>
      <c r="AC142" s="6"/>
      <c r="AD142" s="6"/>
      <c r="AE142" s="6"/>
      <c r="AF142" s="6"/>
      <c r="AG142" s="5"/>
      <c r="AH142" s="6"/>
      <c r="AI142" s="6"/>
      <c r="AJ142" s="6"/>
      <c r="AK142" s="6"/>
      <c r="AL142" s="6"/>
      <c r="AM142" s="6"/>
      <c r="AN142" s="3">
        <f t="shared" si="4"/>
        <v>0</v>
      </c>
      <c r="AO142" s="19">
        <f t="shared" si="24"/>
        <v>0</v>
      </c>
      <c r="AP142" s="6"/>
    </row>
    <row r="143">
      <c r="A143" s="30">
        <f>A142+3</f>
        <v>46321</v>
      </c>
      <c r="B143" s="4" t="s">
        <v>54</v>
      </c>
      <c r="C143" s="4" t="s">
        <v>59</v>
      </c>
      <c r="D143" s="26">
        <v>10.0</v>
      </c>
      <c r="E143" s="2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3">
        <f t="shared" si="4"/>
        <v>0</v>
      </c>
      <c r="AO143" s="19">
        <f t="shared" si="24"/>
        <v>0</v>
      </c>
    </row>
    <row r="144">
      <c r="A144" s="28">
        <f t="shared" ref="A144:A145" si="49">A143+2</f>
        <v>46323</v>
      </c>
      <c r="B144" s="4" t="s">
        <v>56</v>
      </c>
      <c r="C144" s="4" t="s">
        <v>62</v>
      </c>
      <c r="D144" s="26">
        <v>12.5</v>
      </c>
      <c r="E144" s="2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3">
        <f t="shared" si="4"/>
        <v>0</v>
      </c>
      <c r="AO144" s="19">
        <f t="shared" si="24"/>
        <v>0</v>
      </c>
    </row>
    <row r="145">
      <c r="A145" s="30">
        <f t="shared" si="49"/>
        <v>46325</v>
      </c>
      <c r="B145" s="4" t="s">
        <v>51</v>
      </c>
      <c r="C145" s="4" t="s">
        <v>52</v>
      </c>
      <c r="D145" s="26">
        <v>7.0</v>
      </c>
      <c r="E145" s="2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3">
        <f t="shared" si="4"/>
        <v>0</v>
      </c>
      <c r="AO145" s="19">
        <f t="shared" si="24"/>
        <v>0</v>
      </c>
    </row>
    <row r="146">
      <c r="A146" s="30">
        <f>A145+3</f>
        <v>46328</v>
      </c>
      <c r="B146" s="4" t="s">
        <v>54</v>
      </c>
      <c r="C146" s="4" t="s">
        <v>58</v>
      </c>
      <c r="D146" s="26">
        <v>10.0</v>
      </c>
      <c r="E146" s="2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3">
        <f t="shared" si="4"/>
        <v>0</v>
      </c>
      <c r="AO146" s="19">
        <f t="shared" si="24"/>
        <v>0</v>
      </c>
    </row>
    <row r="147">
      <c r="A147" s="28">
        <f t="shared" ref="A147:A148" si="50">A146+2</f>
        <v>46330</v>
      </c>
      <c r="B147" s="4" t="s">
        <v>56</v>
      </c>
      <c r="C147" s="4" t="s">
        <v>59</v>
      </c>
      <c r="D147" s="26">
        <v>8.0</v>
      </c>
      <c r="E147" s="2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3">
        <f t="shared" si="4"/>
        <v>0</v>
      </c>
      <c r="AO147" s="19">
        <f t="shared" si="24"/>
        <v>0</v>
      </c>
    </row>
    <row r="148">
      <c r="A148" s="30">
        <f t="shared" si="50"/>
        <v>46332</v>
      </c>
      <c r="B148" s="4" t="s">
        <v>51</v>
      </c>
      <c r="C148" s="4" t="s">
        <v>52</v>
      </c>
      <c r="D148" s="26">
        <v>7.0</v>
      </c>
      <c r="E148" s="2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3">
        <f t="shared" si="4"/>
        <v>0</v>
      </c>
      <c r="AO148" s="19">
        <f t="shared" si="24"/>
        <v>0</v>
      </c>
    </row>
    <row r="149">
      <c r="A149" s="30">
        <f>A148+3</f>
        <v>46335</v>
      </c>
      <c r="B149" s="4" t="s">
        <v>54</v>
      </c>
      <c r="C149" s="4" t="s">
        <v>59</v>
      </c>
      <c r="D149" s="26">
        <v>10.0</v>
      </c>
      <c r="E149" s="2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3">
        <f t="shared" si="4"/>
        <v>0</v>
      </c>
      <c r="AO149" s="19">
        <f t="shared" si="24"/>
        <v>0</v>
      </c>
    </row>
    <row r="150">
      <c r="A150" s="28">
        <f t="shared" ref="A150:A151" si="51">A149+2</f>
        <v>46337</v>
      </c>
      <c r="B150" s="4" t="s">
        <v>56</v>
      </c>
      <c r="C150" s="4" t="s">
        <v>57</v>
      </c>
      <c r="D150" s="26">
        <v>8.0</v>
      </c>
      <c r="E150" s="2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3">
        <f t="shared" si="4"/>
        <v>0</v>
      </c>
      <c r="AO150" s="19">
        <f t="shared" si="24"/>
        <v>0</v>
      </c>
    </row>
    <row r="151">
      <c r="A151" s="30">
        <f t="shared" si="51"/>
        <v>46339</v>
      </c>
      <c r="B151" s="4" t="s">
        <v>51</v>
      </c>
      <c r="C151" s="4" t="s">
        <v>52</v>
      </c>
      <c r="D151" s="26">
        <v>7.0</v>
      </c>
      <c r="E151" s="2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3">
        <f t="shared" si="4"/>
        <v>0</v>
      </c>
      <c r="AO151" s="19">
        <f t="shared" si="24"/>
        <v>0</v>
      </c>
    </row>
    <row r="152">
      <c r="A152" s="30">
        <f>A151+3</f>
        <v>46342</v>
      </c>
      <c r="B152" s="4" t="s">
        <v>54</v>
      </c>
      <c r="C152" s="4" t="s">
        <v>58</v>
      </c>
      <c r="D152" s="26">
        <v>10.0</v>
      </c>
      <c r="E152" s="2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3">
        <f t="shared" si="4"/>
        <v>0</v>
      </c>
      <c r="AO152" s="19">
        <f t="shared" si="24"/>
        <v>0</v>
      </c>
    </row>
    <row r="153">
      <c r="A153" s="28">
        <f t="shared" ref="A153:A154" si="52">A152+2</f>
        <v>46344</v>
      </c>
      <c r="B153" s="4" t="s">
        <v>56</v>
      </c>
      <c r="C153" s="4" t="s">
        <v>59</v>
      </c>
      <c r="D153" s="26">
        <v>8.0</v>
      </c>
      <c r="E153" s="2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3">
        <f t="shared" si="4"/>
        <v>0</v>
      </c>
      <c r="AO153" s="19">
        <f t="shared" si="24"/>
        <v>0</v>
      </c>
    </row>
    <row r="154">
      <c r="A154" s="30">
        <f t="shared" si="52"/>
        <v>46346</v>
      </c>
      <c r="B154" s="4" t="s">
        <v>60</v>
      </c>
      <c r="C154" s="4" t="s">
        <v>61</v>
      </c>
      <c r="D154" s="26">
        <v>12.5</v>
      </c>
      <c r="E154" s="2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3">
        <f t="shared" si="4"/>
        <v>0</v>
      </c>
      <c r="AO154" s="19">
        <f t="shared" si="24"/>
        <v>0</v>
      </c>
    </row>
    <row r="155">
      <c r="A155" s="30">
        <f>A154+3</f>
        <v>46349</v>
      </c>
      <c r="B155" s="4" t="s">
        <v>54</v>
      </c>
      <c r="C155" s="4" t="s">
        <v>59</v>
      </c>
      <c r="D155" s="26">
        <v>10.0</v>
      </c>
      <c r="E155" s="2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3">
        <f t="shared" si="4"/>
        <v>0</v>
      </c>
      <c r="AO155" s="19">
        <f t="shared" si="24"/>
        <v>0</v>
      </c>
    </row>
    <row r="156">
      <c r="A156" s="28">
        <f t="shared" ref="A156:A157" si="53">A155+2</f>
        <v>46351</v>
      </c>
      <c r="B156" s="4" t="s">
        <v>56</v>
      </c>
      <c r="C156" s="4" t="s">
        <v>62</v>
      </c>
      <c r="D156" s="26">
        <v>12.5</v>
      </c>
      <c r="E156" s="2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3">
        <f t="shared" si="4"/>
        <v>0</v>
      </c>
      <c r="AO156" s="19">
        <f t="shared" si="24"/>
        <v>0</v>
      </c>
    </row>
    <row r="157">
      <c r="A157" s="30">
        <f t="shared" si="53"/>
        <v>46353</v>
      </c>
      <c r="B157" s="4" t="s">
        <v>51</v>
      </c>
      <c r="C157" s="4" t="s">
        <v>52</v>
      </c>
      <c r="D157" s="26">
        <v>7.0</v>
      </c>
      <c r="E157" s="2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3">
        <f t="shared" si="4"/>
        <v>0</v>
      </c>
      <c r="AO157" s="19">
        <f t="shared" si="24"/>
        <v>0</v>
      </c>
    </row>
    <row r="158">
      <c r="A158" s="30">
        <f>A157+3</f>
        <v>46356</v>
      </c>
      <c r="B158" s="4" t="s">
        <v>54</v>
      </c>
      <c r="C158" s="4" t="s">
        <v>58</v>
      </c>
      <c r="D158" s="26">
        <v>10.0</v>
      </c>
      <c r="E158" s="2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3">
        <f t="shared" si="4"/>
        <v>0</v>
      </c>
      <c r="AO158" s="19">
        <f t="shared" si="24"/>
        <v>0</v>
      </c>
    </row>
    <row r="159">
      <c r="A159" s="28">
        <f t="shared" ref="A159:A160" si="54">A158+2</f>
        <v>46358</v>
      </c>
      <c r="B159" s="4" t="s">
        <v>56</v>
      </c>
      <c r="C159" s="4" t="s">
        <v>59</v>
      </c>
      <c r="D159" s="26">
        <v>8.0</v>
      </c>
      <c r="E159" s="2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3">
        <f t="shared" si="4"/>
        <v>0</v>
      </c>
      <c r="AO159" s="19">
        <f t="shared" si="24"/>
        <v>0</v>
      </c>
    </row>
    <row r="160">
      <c r="A160" s="30">
        <f t="shared" si="54"/>
        <v>46360</v>
      </c>
      <c r="B160" s="4" t="s">
        <v>51</v>
      </c>
      <c r="C160" s="4" t="s">
        <v>52</v>
      </c>
      <c r="D160" s="26">
        <v>7.0</v>
      </c>
      <c r="E160" s="2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3">
        <f t="shared" si="4"/>
        <v>0</v>
      </c>
      <c r="AO160" s="19">
        <f t="shared" si="24"/>
        <v>0</v>
      </c>
    </row>
    <row r="161">
      <c r="A161" s="30">
        <f>A160+3</f>
        <v>46363</v>
      </c>
      <c r="B161" s="4" t="s">
        <v>54</v>
      </c>
      <c r="C161" s="4" t="s">
        <v>59</v>
      </c>
      <c r="D161" s="26">
        <v>10.0</v>
      </c>
      <c r="E161" s="2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3">
        <f t="shared" si="4"/>
        <v>0</v>
      </c>
      <c r="AO161" s="19">
        <f t="shared" si="24"/>
        <v>0</v>
      </c>
    </row>
    <row r="162">
      <c r="A162" s="28">
        <f t="shared" ref="A162:A163" si="55">A161+2</f>
        <v>46365</v>
      </c>
      <c r="B162" s="4" t="s">
        <v>56</v>
      </c>
      <c r="C162" s="4" t="s">
        <v>57</v>
      </c>
      <c r="D162" s="26">
        <v>8.0</v>
      </c>
      <c r="E162" s="2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3">
        <f t="shared" si="4"/>
        <v>0</v>
      </c>
      <c r="AO162" s="19">
        <f t="shared" si="24"/>
        <v>0</v>
      </c>
    </row>
    <row r="163">
      <c r="A163" s="30">
        <f t="shared" si="55"/>
        <v>46367</v>
      </c>
      <c r="B163" s="4" t="s">
        <v>51</v>
      </c>
      <c r="C163" s="4" t="s">
        <v>52</v>
      </c>
      <c r="D163" s="26">
        <v>7.0</v>
      </c>
      <c r="E163" s="2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3">
        <f t="shared" si="4"/>
        <v>0</v>
      </c>
      <c r="AO163" s="19">
        <f t="shared" si="24"/>
        <v>0</v>
      </c>
    </row>
    <row r="164">
      <c r="A164" s="40">
        <v>46369.0</v>
      </c>
      <c r="B164" s="4" t="s">
        <v>76</v>
      </c>
      <c r="C164" s="4" t="s">
        <v>77</v>
      </c>
      <c r="D164" s="26">
        <v>42.2</v>
      </c>
      <c r="E164" s="2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3">
        <f t="shared" si="4"/>
        <v>0</v>
      </c>
      <c r="AO164" s="19">
        <f t="shared" si="24"/>
        <v>0</v>
      </c>
    </row>
    <row r="165">
      <c r="A165" s="41">
        <f t="shared" ref="A165:A166" si="56">A164</f>
        <v>46369</v>
      </c>
      <c r="B165" s="4" t="s">
        <v>76</v>
      </c>
      <c r="C165" s="4" t="s">
        <v>78</v>
      </c>
      <c r="D165" s="26">
        <v>21.1</v>
      </c>
      <c r="E165" s="2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3">
        <f t="shared" si="4"/>
        <v>0</v>
      </c>
      <c r="AO165" s="19">
        <f t="shared" si="24"/>
        <v>0</v>
      </c>
    </row>
    <row r="166">
      <c r="A166" s="41">
        <f t="shared" si="56"/>
        <v>46369</v>
      </c>
      <c r="B166" s="4" t="s">
        <v>76</v>
      </c>
      <c r="C166" s="4" t="s">
        <v>79</v>
      </c>
      <c r="D166" s="26">
        <v>10.0</v>
      </c>
      <c r="E166" s="2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3">
        <f t="shared" si="4"/>
        <v>0</v>
      </c>
      <c r="AO166" s="19">
        <f t="shared" si="24"/>
        <v>0</v>
      </c>
    </row>
    <row r="167">
      <c r="A167" s="36">
        <f>A166+1</f>
        <v>46370</v>
      </c>
      <c r="B167" s="4" t="s">
        <v>54</v>
      </c>
      <c r="C167" s="4" t="s">
        <v>58</v>
      </c>
      <c r="D167" s="26">
        <v>10.0</v>
      </c>
      <c r="E167" s="2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3">
        <f t="shared" si="4"/>
        <v>0</v>
      </c>
      <c r="AO167" s="19">
        <f t="shared" si="24"/>
        <v>0</v>
      </c>
    </row>
    <row r="168">
      <c r="A168" s="37">
        <f t="shared" ref="A168:A169" si="57">A167+2</f>
        <v>46372</v>
      </c>
      <c r="B168" s="4" t="s">
        <v>56</v>
      </c>
      <c r="C168" s="4" t="s">
        <v>59</v>
      </c>
      <c r="D168" s="26">
        <v>8.0</v>
      </c>
      <c r="E168" s="2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3">
        <f t="shared" si="4"/>
        <v>0</v>
      </c>
      <c r="AO168" s="19">
        <f t="shared" si="24"/>
        <v>0</v>
      </c>
    </row>
    <row r="169">
      <c r="A169" s="36">
        <f t="shared" si="57"/>
        <v>46374</v>
      </c>
      <c r="B169" s="4" t="s">
        <v>60</v>
      </c>
      <c r="C169" s="4" t="s">
        <v>61</v>
      </c>
      <c r="D169" s="26">
        <v>12.5</v>
      </c>
      <c r="E169" s="2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3">
        <f t="shared" si="4"/>
        <v>0</v>
      </c>
      <c r="AO169" s="19">
        <f t="shared" si="24"/>
        <v>0</v>
      </c>
    </row>
    <row r="170">
      <c r="A170" s="36">
        <f>A169+3</f>
        <v>46377</v>
      </c>
      <c r="B170" s="4" t="s">
        <v>54</v>
      </c>
      <c r="C170" s="4" t="s">
        <v>59</v>
      </c>
      <c r="D170" s="26">
        <v>10.0</v>
      </c>
      <c r="E170" s="2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3">
        <f t="shared" si="4"/>
        <v>0</v>
      </c>
      <c r="AO170" s="19">
        <f t="shared" si="24"/>
        <v>0</v>
      </c>
    </row>
    <row r="171">
      <c r="A171" s="37">
        <f t="shared" ref="A171:A172" si="58">A170+2</f>
        <v>46379</v>
      </c>
      <c r="B171" s="4" t="s">
        <v>56</v>
      </c>
      <c r="C171" s="4" t="s">
        <v>62</v>
      </c>
      <c r="D171" s="26">
        <v>12.5</v>
      </c>
      <c r="E171" s="2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3">
        <f t="shared" si="4"/>
        <v>0</v>
      </c>
      <c r="AO171" s="19">
        <f t="shared" si="24"/>
        <v>0</v>
      </c>
    </row>
    <row r="172">
      <c r="A172" s="36">
        <f t="shared" si="58"/>
        <v>46381</v>
      </c>
      <c r="B172" s="4" t="s">
        <v>51</v>
      </c>
      <c r="C172" s="4" t="s">
        <v>52</v>
      </c>
      <c r="D172" s="26">
        <v>7.0</v>
      </c>
      <c r="E172" s="2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3">
        <f t="shared" si="4"/>
        <v>0</v>
      </c>
      <c r="AO172" s="19">
        <f t="shared" si="24"/>
        <v>0</v>
      </c>
    </row>
    <row r="173">
      <c r="A173" s="36">
        <f>A172+3</f>
        <v>46384</v>
      </c>
      <c r="B173" s="4" t="s">
        <v>54</v>
      </c>
      <c r="C173" s="4" t="s">
        <v>58</v>
      </c>
      <c r="D173" s="26">
        <v>10.0</v>
      </c>
      <c r="E173" s="2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3">
        <f t="shared" si="4"/>
        <v>0</v>
      </c>
      <c r="AO173" s="19">
        <f t="shared" si="24"/>
        <v>0</v>
      </c>
    </row>
    <row r="174">
      <c r="A174" s="37">
        <f>A173+2</f>
        <v>46386</v>
      </c>
      <c r="B174" s="4" t="s">
        <v>56</v>
      </c>
      <c r="C174" s="4" t="s">
        <v>59</v>
      </c>
      <c r="D174" s="26">
        <v>8.0</v>
      </c>
      <c r="E174" s="2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3">
        <f t="shared" si="4"/>
        <v>0</v>
      </c>
      <c r="AO174" s="19">
        <f t="shared" si="24"/>
        <v>0</v>
      </c>
    </row>
    <row r="175">
      <c r="D175" s="42"/>
      <c r="E175" s="2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O175" s="19"/>
    </row>
    <row r="176">
      <c r="D176" s="42"/>
      <c r="E176" s="2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O176" s="19"/>
    </row>
    <row r="177">
      <c r="D177" s="42"/>
      <c r="E177" s="2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O177" s="19"/>
    </row>
    <row r="178">
      <c r="D178" s="42"/>
      <c r="E178" s="2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O178" s="19"/>
    </row>
    <row r="179">
      <c r="D179" s="42"/>
      <c r="E179" s="2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O179" s="19"/>
    </row>
    <row r="180">
      <c r="D180" s="42"/>
      <c r="E180" s="2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O180" s="19"/>
    </row>
    <row r="181">
      <c r="D181" s="42"/>
      <c r="E181" s="2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O181" s="19"/>
    </row>
    <row r="182">
      <c r="D182" s="42"/>
      <c r="E182" s="2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O182" s="19"/>
    </row>
    <row r="183">
      <c r="D183" s="42"/>
      <c r="E183" s="2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O183" s="19"/>
    </row>
    <row r="184">
      <c r="D184" s="42"/>
      <c r="E184" s="2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O184" s="19"/>
    </row>
    <row r="185">
      <c r="D185" s="42"/>
      <c r="E185" s="2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O185" s="19"/>
    </row>
    <row r="186">
      <c r="D186" s="42"/>
      <c r="E186" s="2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O186" s="19"/>
    </row>
    <row r="187">
      <c r="D187" s="42"/>
      <c r="E187" s="2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O187" s="19"/>
    </row>
    <row r="188">
      <c r="D188" s="42"/>
      <c r="E188" s="2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O188" s="19"/>
    </row>
    <row r="189">
      <c r="D189" s="42"/>
      <c r="E189" s="2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O189" s="19"/>
    </row>
    <row r="190">
      <c r="D190" s="42"/>
      <c r="E190" s="2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O190" s="19"/>
    </row>
    <row r="191">
      <c r="D191" s="42"/>
      <c r="E191" s="2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O191" s="19"/>
    </row>
    <row r="192">
      <c r="D192" s="42"/>
      <c r="E192" s="2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O192" s="19"/>
    </row>
    <row r="193">
      <c r="D193" s="42"/>
      <c r="E193" s="2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O193" s="19"/>
    </row>
    <row r="194">
      <c r="D194" s="42"/>
      <c r="E194" s="2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O194" s="19"/>
    </row>
    <row r="195">
      <c r="D195" s="42"/>
      <c r="E195" s="2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O195" s="19"/>
    </row>
    <row r="196">
      <c r="D196" s="42"/>
      <c r="E196" s="2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O196" s="19"/>
    </row>
    <row r="197">
      <c r="D197" s="42"/>
      <c r="E197" s="2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O197" s="19"/>
    </row>
    <row r="198">
      <c r="D198" s="42"/>
      <c r="E198" s="2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O198" s="19"/>
    </row>
    <row r="199">
      <c r="D199" s="42"/>
      <c r="E199" s="2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O199" s="19"/>
    </row>
    <row r="200">
      <c r="D200" s="42"/>
      <c r="E200" s="2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O200" s="19"/>
    </row>
    <row r="201">
      <c r="D201" s="42"/>
      <c r="E201" s="2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O201" s="19"/>
    </row>
    <row r="202">
      <c r="D202" s="42"/>
      <c r="E202" s="2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O202" s="19"/>
    </row>
    <row r="203">
      <c r="D203" s="42"/>
      <c r="E203" s="2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O203" s="19"/>
    </row>
    <row r="204">
      <c r="D204" s="42"/>
      <c r="E204" s="2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O204" s="19"/>
    </row>
    <row r="205">
      <c r="D205" s="42"/>
      <c r="E205" s="2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O205" s="19"/>
    </row>
    <row r="206">
      <c r="D206" s="42"/>
      <c r="E206" s="2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O206" s="19"/>
    </row>
    <row r="207">
      <c r="D207" s="42"/>
      <c r="E207" s="2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O207" s="19"/>
    </row>
    <row r="208">
      <c r="D208" s="42"/>
      <c r="E208" s="2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O208" s="19"/>
    </row>
    <row r="209">
      <c r="D209" s="42"/>
      <c r="E209" s="2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O209" s="19"/>
    </row>
    <row r="210">
      <c r="D210" s="42"/>
      <c r="E210" s="2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O210" s="19"/>
    </row>
    <row r="211">
      <c r="D211" s="42"/>
      <c r="E211" s="2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O211" s="19"/>
    </row>
    <row r="212">
      <c r="D212" s="42"/>
      <c r="E212" s="2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O212" s="19"/>
    </row>
    <row r="213">
      <c r="D213" s="42"/>
      <c r="E213" s="2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O213" s="19"/>
    </row>
    <row r="214">
      <c r="D214" s="42"/>
      <c r="E214" s="2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O214" s="19"/>
    </row>
    <row r="215">
      <c r="D215" s="42"/>
      <c r="E215" s="2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O215" s="19"/>
    </row>
    <row r="216">
      <c r="D216" s="42"/>
      <c r="E216" s="2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O216" s="19"/>
    </row>
    <row r="217">
      <c r="D217" s="42"/>
      <c r="E217" s="2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O217" s="19"/>
    </row>
    <row r="218">
      <c r="D218" s="42"/>
      <c r="E218" s="2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O218" s="19"/>
    </row>
    <row r="219">
      <c r="D219" s="42"/>
      <c r="E219" s="2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O219" s="19"/>
    </row>
    <row r="220">
      <c r="D220" s="42"/>
      <c r="E220" s="2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O220" s="19"/>
    </row>
    <row r="221">
      <c r="D221" s="42"/>
      <c r="E221" s="2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O221" s="19"/>
    </row>
    <row r="222">
      <c r="D222" s="42"/>
      <c r="E222" s="2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O222" s="19"/>
    </row>
    <row r="223">
      <c r="D223" s="42"/>
      <c r="E223" s="2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O223" s="19"/>
    </row>
    <row r="224">
      <c r="D224" s="42"/>
      <c r="E224" s="2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O224" s="19"/>
    </row>
    <row r="225">
      <c r="D225" s="42"/>
      <c r="E225" s="2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O225" s="19"/>
    </row>
    <row r="226">
      <c r="D226" s="42"/>
      <c r="E226" s="2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O226" s="19"/>
    </row>
    <row r="227">
      <c r="D227" s="42"/>
      <c r="E227" s="2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O227" s="19"/>
    </row>
    <row r="228">
      <c r="D228" s="42"/>
      <c r="E228" s="2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O228" s="19"/>
    </row>
    <row r="229">
      <c r="D229" s="42"/>
      <c r="E229" s="2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O229" s="19"/>
    </row>
    <row r="230">
      <c r="D230" s="42"/>
      <c r="E230" s="2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O230" s="19"/>
    </row>
    <row r="231">
      <c r="D231" s="42"/>
      <c r="E231" s="2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O231" s="19"/>
    </row>
    <row r="232">
      <c r="D232" s="42"/>
      <c r="E232" s="2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O232" s="19"/>
    </row>
    <row r="233">
      <c r="D233" s="42"/>
      <c r="E233" s="2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O233" s="19"/>
    </row>
    <row r="234">
      <c r="D234" s="42"/>
      <c r="E234" s="2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O234" s="19"/>
    </row>
    <row r="235">
      <c r="D235" s="42"/>
      <c r="E235" s="2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O235" s="19"/>
    </row>
    <row r="236">
      <c r="D236" s="42"/>
      <c r="E236" s="2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O236" s="19"/>
    </row>
    <row r="237">
      <c r="D237" s="42"/>
      <c r="E237" s="2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O237" s="19"/>
    </row>
    <row r="238">
      <c r="D238" s="42"/>
      <c r="E238" s="2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O238" s="19"/>
    </row>
    <row r="239">
      <c r="D239" s="42"/>
      <c r="E239" s="2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O239" s="19"/>
    </row>
    <row r="240">
      <c r="D240" s="42"/>
      <c r="E240" s="2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O240" s="19"/>
    </row>
    <row r="241">
      <c r="D241" s="42"/>
      <c r="E241" s="2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O241" s="19"/>
    </row>
    <row r="242">
      <c r="D242" s="42"/>
      <c r="E242" s="2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O242" s="19"/>
    </row>
    <row r="243">
      <c r="D243" s="42"/>
      <c r="E243" s="2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O243" s="19"/>
    </row>
    <row r="244">
      <c r="D244" s="42"/>
      <c r="E244" s="2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O244" s="19"/>
    </row>
    <row r="245">
      <c r="D245" s="42"/>
      <c r="E245" s="2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O245" s="19"/>
    </row>
    <row r="246">
      <c r="D246" s="42"/>
      <c r="E246" s="2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O246" s="19"/>
    </row>
    <row r="247">
      <c r="D247" s="42"/>
      <c r="E247" s="27"/>
      <c r="AO247" s="19"/>
    </row>
    <row r="248">
      <c r="D248" s="42"/>
      <c r="E248" s="27"/>
      <c r="AO248" s="19"/>
    </row>
    <row r="249">
      <c r="D249" s="42"/>
      <c r="E249" s="27"/>
      <c r="AO249" s="19"/>
    </row>
    <row r="250">
      <c r="D250" s="42"/>
      <c r="E250" s="27"/>
      <c r="AO250" s="19"/>
    </row>
    <row r="251">
      <c r="D251" s="42"/>
      <c r="E251" s="27"/>
      <c r="AO251" s="19"/>
    </row>
    <row r="252">
      <c r="D252" s="42"/>
      <c r="E252" s="27"/>
      <c r="AO252" s="19"/>
    </row>
    <row r="253">
      <c r="D253" s="42"/>
      <c r="E253" s="27"/>
      <c r="AO253" s="19"/>
    </row>
    <row r="254">
      <c r="D254" s="42"/>
      <c r="E254" s="27"/>
      <c r="AO254" s="19"/>
    </row>
    <row r="255">
      <c r="D255" s="42"/>
      <c r="E255" s="27"/>
      <c r="AO255" s="19"/>
    </row>
    <row r="256">
      <c r="D256" s="42"/>
      <c r="E256" s="27"/>
      <c r="AO256" s="19"/>
    </row>
    <row r="257">
      <c r="D257" s="42"/>
      <c r="E257" s="27"/>
      <c r="AO257" s="19"/>
    </row>
    <row r="258">
      <c r="D258" s="42"/>
      <c r="E258" s="27"/>
      <c r="AO258" s="19"/>
    </row>
    <row r="259">
      <c r="D259" s="42"/>
      <c r="E259" s="27"/>
      <c r="AO259" s="19"/>
    </row>
    <row r="260">
      <c r="D260" s="42"/>
      <c r="E260" s="27"/>
      <c r="AO260" s="19"/>
    </row>
    <row r="261">
      <c r="D261" s="42"/>
      <c r="E261" s="27"/>
      <c r="AO261" s="19"/>
    </row>
    <row r="262">
      <c r="D262" s="42"/>
      <c r="E262" s="27"/>
      <c r="AO262" s="19"/>
    </row>
    <row r="263">
      <c r="D263" s="42"/>
      <c r="E263" s="27"/>
      <c r="AO263" s="19"/>
    </row>
    <row r="264">
      <c r="D264" s="42"/>
      <c r="E264" s="27"/>
      <c r="AO264" s="19"/>
    </row>
    <row r="265">
      <c r="D265" s="42"/>
      <c r="E265" s="27"/>
      <c r="AO265" s="19"/>
    </row>
    <row r="266">
      <c r="D266" s="42"/>
      <c r="E266" s="27"/>
      <c r="AO266" s="19"/>
    </row>
    <row r="267">
      <c r="D267" s="42"/>
      <c r="E267" s="27"/>
      <c r="AO267" s="19"/>
    </row>
    <row r="268">
      <c r="D268" s="42"/>
      <c r="E268" s="27"/>
      <c r="AO268" s="19"/>
    </row>
    <row r="269">
      <c r="D269" s="42"/>
      <c r="E269" s="27"/>
      <c r="AO269" s="19"/>
    </row>
    <row r="270">
      <c r="D270" s="42"/>
      <c r="E270" s="43"/>
      <c r="AO270" s="19"/>
    </row>
    <row r="271">
      <c r="D271" s="42"/>
      <c r="E271" s="43"/>
      <c r="AO271" s="19"/>
    </row>
    <row r="272">
      <c r="D272" s="42"/>
      <c r="E272" s="43"/>
      <c r="AO272" s="19"/>
    </row>
    <row r="273">
      <c r="D273" s="42"/>
      <c r="E273" s="43"/>
      <c r="AO273" s="19"/>
    </row>
    <row r="274">
      <c r="D274" s="42"/>
      <c r="E274" s="43"/>
      <c r="AO274" s="19"/>
    </row>
    <row r="275">
      <c r="D275" s="42"/>
      <c r="E275" s="43"/>
      <c r="AO275" s="19"/>
    </row>
    <row r="276">
      <c r="D276" s="42"/>
      <c r="E276" s="43"/>
      <c r="AO276" s="19"/>
    </row>
    <row r="277">
      <c r="D277" s="42"/>
      <c r="E277" s="43"/>
      <c r="AO277" s="19"/>
    </row>
    <row r="278">
      <c r="D278" s="42"/>
      <c r="E278" s="43"/>
      <c r="AO278" s="19"/>
    </row>
    <row r="279">
      <c r="D279" s="42"/>
      <c r="E279" s="43"/>
      <c r="AO279" s="19"/>
    </row>
    <row r="280">
      <c r="D280" s="42"/>
      <c r="E280" s="43"/>
      <c r="AO280" s="19"/>
    </row>
    <row r="281">
      <c r="D281" s="42"/>
      <c r="E281" s="43"/>
      <c r="AO281" s="19"/>
    </row>
    <row r="282">
      <c r="D282" s="42"/>
      <c r="E282" s="43"/>
      <c r="AO282" s="19"/>
    </row>
    <row r="283">
      <c r="D283" s="42"/>
      <c r="E283" s="43"/>
      <c r="AO283" s="19"/>
    </row>
    <row r="284">
      <c r="D284" s="42"/>
      <c r="E284" s="43"/>
      <c r="AO284" s="19"/>
    </row>
    <row r="285">
      <c r="D285" s="42"/>
      <c r="E285" s="43"/>
      <c r="AO285" s="19"/>
    </row>
    <row r="286">
      <c r="D286" s="42"/>
      <c r="E286" s="43"/>
      <c r="AO286" s="19"/>
    </row>
    <row r="287">
      <c r="D287" s="42"/>
      <c r="E287" s="43"/>
      <c r="AO287" s="19"/>
    </row>
    <row r="288">
      <c r="D288" s="42"/>
      <c r="E288" s="43"/>
      <c r="AO288" s="19"/>
    </row>
    <row r="289">
      <c r="D289" s="42"/>
      <c r="E289" s="43"/>
      <c r="AO289" s="19"/>
    </row>
    <row r="290">
      <c r="D290" s="42"/>
      <c r="E290" s="43"/>
      <c r="AO290" s="19"/>
    </row>
    <row r="291">
      <c r="D291" s="42"/>
      <c r="E291" s="43"/>
      <c r="AO291" s="19"/>
    </row>
    <row r="292">
      <c r="D292" s="42"/>
      <c r="E292" s="43"/>
      <c r="AO292" s="19"/>
    </row>
    <row r="293">
      <c r="D293" s="42"/>
      <c r="E293" s="43"/>
      <c r="AO293" s="19"/>
    </row>
    <row r="294">
      <c r="D294" s="42"/>
      <c r="E294" s="43"/>
      <c r="AO294" s="19"/>
    </row>
    <row r="295">
      <c r="D295" s="42"/>
      <c r="E295" s="43"/>
      <c r="AO295" s="19"/>
    </row>
    <row r="296">
      <c r="D296" s="42"/>
      <c r="E296" s="43"/>
      <c r="AO296" s="19"/>
    </row>
    <row r="297">
      <c r="D297" s="42"/>
      <c r="E297" s="43"/>
      <c r="AO297" s="19"/>
    </row>
    <row r="298">
      <c r="D298" s="42"/>
      <c r="E298" s="43"/>
      <c r="AO298" s="19"/>
    </row>
    <row r="299">
      <c r="D299" s="42"/>
      <c r="E299" s="43"/>
      <c r="AO299" s="19"/>
    </row>
    <row r="300">
      <c r="D300" s="42"/>
      <c r="E300" s="43"/>
      <c r="AO300" s="19"/>
    </row>
    <row r="301">
      <c r="D301" s="42"/>
      <c r="E301" s="43"/>
      <c r="AO301" s="19"/>
    </row>
    <row r="302">
      <c r="D302" s="42"/>
      <c r="E302" s="43"/>
      <c r="AO302" s="19"/>
    </row>
    <row r="303">
      <c r="D303" s="42"/>
      <c r="E303" s="43"/>
      <c r="AO303" s="19"/>
    </row>
    <row r="304">
      <c r="D304" s="42"/>
      <c r="E304" s="43"/>
      <c r="AO304" s="19"/>
    </row>
    <row r="305">
      <c r="D305" s="42"/>
      <c r="E305" s="43"/>
      <c r="AO305" s="19"/>
    </row>
    <row r="306">
      <c r="D306" s="42"/>
      <c r="E306" s="43"/>
      <c r="AO306" s="19"/>
    </row>
    <row r="307">
      <c r="D307" s="42"/>
      <c r="E307" s="43"/>
      <c r="AO307" s="19"/>
    </row>
    <row r="308">
      <c r="D308" s="42"/>
      <c r="E308" s="43"/>
      <c r="AO308" s="19"/>
    </row>
    <row r="309">
      <c r="D309" s="42"/>
      <c r="E309" s="43"/>
      <c r="AO309" s="19"/>
    </row>
    <row r="310">
      <c r="D310" s="42"/>
      <c r="E310" s="43"/>
      <c r="AO310" s="19"/>
    </row>
    <row r="311">
      <c r="D311" s="42"/>
      <c r="E311" s="43"/>
      <c r="AO311" s="19"/>
    </row>
    <row r="312">
      <c r="D312" s="42"/>
      <c r="E312" s="43"/>
      <c r="AO312" s="19"/>
    </row>
    <row r="313">
      <c r="D313" s="42"/>
      <c r="E313" s="43"/>
      <c r="AO313" s="19"/>
    </row>
    <row r="314">
      <c r="D314" s="42"/>
      <c r="E314" s="43"/>
      <c r="AO314" s="19"/>
    </row>
    <row r="315">
      <c r="D315" s="42"/>
      <c r="E315" s="43"/>
      <c r="AO315" s="19"/>
    </row>
    <row r="316">
      <c r="D316" s="42"/>
      <c r="E316" s="43"/>
      <c r="AO316" s="19"/>
    </row>
    <row r="317">
      <c r="D317" s="42"/>
      <c r="E317" s="43"/>
      <c r="AO317" s="19"/>
    </row>
    <row r="318">
      <c r="D318" s="42"/>
      <c r="E318" s="43"/>
      <c r="AO318" s="19"/>
    </row>
    <row r="319">
      <c r="D319" s="42"/>
      <c r="E319" s="43"/>
      <c r="AO319" s="19"/>
    </row>
    <row r="320">
      <c r="D320" s="42"/>
      <c r="E320" s="43"/>
      <c r="AO320" s="19"/>
    </row>
    <row r="321">
      <c r="D321" s="42"/>
      <c r="E321" s="43"/>
      <c r="AO321" s="19"/>
    </row>
    <row r="322">
      <c r="D322" s="42"/>
      <c r="E322" s="43"/>
      <c r="AO322" s="19"/>
    </row>
    <row r="323">
      <c r="D323" s="42"/>
      <c r="E323" s="43"/>
      <c r="AO323" s="19"/>
    </row>
    <row r="324">
      <c r="D324" s="42"/>
      <c r="E324" s="43"/>
      <c r="AO324" s="19"/>
    </row>
    <row r="325">
      <c r="D325" s="42"/>
      <c r="E325" s="43"/>
      <c r="AO325" s="19"/>
    </row>
    <row r="326">
      <c r="D326" s="42"/>
      <c r="E326" s="43"/>
      <c r="AO326" s="19"/>
    </row>
    <row r="327">
      <c r="D327" s="42"/>
      <c r="E327" s="43"/>
      <c r="AO327" s="19"/>
    </row>
    <row r="328">
      <c r="D328" s="42"/>
      <c r="E328" s="43"/>
      <c r="AO328" s="19"/>
    </row>
    <row r="329">
      <c r="D329" s="42"/>
      <c r="E329" s="43"/>
      <c r="AO329" s="19"/>
    </row>
    <row r="330">
      <c r="D330" s="42"/>
      <c r="E330" s="43"/>
      <c r="AO330" s="19"/>
    </row>
    <row r="331">
      <c r="D331" s="42"/>
      <c r="E331" s="43"/>
      <c r="AO331" s="19"/>
    </row>
    <row r="332">
      <c r="D332" s="42"/>
      <c r="E332" s="43"/>
      <c r="AO332" s="19"/>
    </row>
    <row r="333">
      <c r="D333" s="42"/>
      <c r="E333" s="43"/>
      <c r="AO333" s="19"/>
    </row>
    <row r="334">
      <c r="D334" s="42"/>
      <c r="E334" s="43"/>
      <c r="AO334" s="19"/>
    </row>
    <row r="335">
      <c r="D335" s="42"/>
      <c r="E335" s="43"/>
      <c r="AO335" s="19"/>
    </row>
    <row r="336">
      <c r="D336" s="42"/>
      <c r="E336" s="43"/>
      <c r="AO336" s="19"/>
    </row>
    <row r="337">
      <c r="D337" s="42"/>
      <c r="E337" s="43"/>
      <c r="AO337" s="19"/>
    </row>
    <row r="338">
      <c r="D338" s="42"/>
      <c r="E338" s="43"/>
      <c r="AO338" s="19"/>
    </row>
    <row r="339">
      <c r="D339" s="42"/>
      <c r="E339" s="43"/>
      <c r="AO339" s="19"/>
    </row>
    <row r="340">
      <c r="D340" s="42"/>
      <c r="E340" s="43"/>
      <c r="AO340" s="19"/>
    </row>
    <row r="341">
      <c r="D341" s="42"/>
      <c r="E341" s="43"/>
      <c r="AO341" s="19"/>
    </row>
    <row r="342">
      <c r="D342" s="42"/>
      <c r="E342" s="43"/>
      <c r="AO342" s="19"/>
    </row>
    <row r="343">
      <c r="D343" s="42"/>
      <c r="E343" s="43"/>
      <c r="AO343" s="19"/>
    </row>
    <row r="344">
      <c r="D344" s="42"/>
      <c r="E344" s="43"/>
      <c r="AO344" s="19"/>
    </row>
    <row r="345">
      <c r="D345" s="42"/>
      <c r="E345" s="43"/>
      <c r="AO345" s="19"/>
    </row>
    <row r="346">
      <c r="D346" s="42"/>
      <c r="E346" s="43"/>
      <c r="AO346" s="19"/>
    </row>
    <row r="347">
      <c r="D347" s="42"/>
      <c r="E347" s="43"/>
      <c r="AO347" s="19"/>
    </row>
    <row r="348">
      <c r="D348" s="42"/>
      <c r="E348" s="43"/>
      <c r="AO348" s="19"/>
    </row>
    <row r="349">
      <c r="D349" s="42"/>
      <c r="E349" s="43"/>
      <c r="AO349" s="19"/>
    </row>
    <row r="350">
      <c r="D350" s="42"/>
      <c r="E350" s="43"/>
      <c r="AO350" s="19"/>
    </row>
    <row r="351">
      <c r="D351" s="42"/>
      <c r="E351" s="43"/>
      <c r="AO351" s="19"/>
    </row>
    <row r="352">
      <c r="D352" s="42"/>
      <c r="E352" s="43"/>
      <c r="AO352" s="19"/>
    </row>
    <row r="353">
      <c r="D353" s="42"/>
      <c r="E353" s="43"/>
      <c r="AO353" s="19"/>
    </row>
    <row r="354">
      <c r="D354" s="42"/>
      <c r="E354" s="43"/>
      <c r="AO354" s="19"/>
    </row>
    <row r="355">
      <c r="D355" s="42"/>
      <c r="E355" s="43"/>
      <c r="AO355" s="19"/>
    </row>
    <row r="356">
      <c r="D356" s="42"/>
      <c r="E356" s="43"/>
      <c r="AO356" s="19"/>
    </row>
    <row r="357">
      <c r="D357" s="42"/>
      <c r="E357" s="43"/>
      <c r="AO357" s="19"/>
    </row>
    <row r="358">
      <c r="D358" s="42"/>
      <c r="E358" s="43"/>
      <c r="AO358" s="19"/>
    </row>
    <row r="359">
      <c r="D359" s="42"/>
      <c r="E359" s="43"/>
      <c r="AO359" s="19"/>
    </row>
    <row r="360">
      <c r="D360" s="42"/>
      <c r="E360" s="43"/>
      <c r="AO360" s="19"/>
    </row>
    <row r="361">
      <c r="D361" s="42"/>
      <c r="E361" s="43"/>
      <c r="AO361" s="19"/>
    </row>
    <row r="362">
      <c r="D362" s="42"/>
      <c r="E362" s="43"/>
      <c r="AO362" s="19"/>
    </row>
    <row r="363">
      <c r="D363" s="42"/>
      <c r="E363" s="43"/>
      <c r="AO363" s="19"/>
    </row>
    <row r="364">
      <c r="D364" s="42"/>
      <c r="E364" s="43"/>
      <c r="AO364" s="19"/>
    </row>
    <row r="365">
      <c r="D365" s="42"/>
      <c r="E365" s="43"/>
      <c r="AO365" s="19"/>
    </row>
    <row r="366">
      <c r="D366" s="42"/>
      <c r="E366" s="43"/>
      <c r="AO366" s="19"/>
    </row>
    <row r="367">
      <c r="D367" s="42"/>
      <c r="E367" s="43"/>
      <c r="AO367" s="19"/>
    </row>
    <row r="368">
      <c r="D368" s="42"/>
      <c r="E368" s="43"/>
      <c r="AO368" s="19"/>
    </row>
    <row r="369">
      <c r="D369" s="42"/>
      <c r="E369" s="43"/>
      <c r="AO369" s="19"/>
    </row>
    <row r="370">
      <c r="D370" s="42"/>
      <c r="E370" s="43"/>
      <c r="AO370" s="19"/>
    </row>
    <row r="371">
      <c r="D371" s="42"/>
      <c r="E371" s="43"/>
      <c r="AO371" s="19"/>
    </row>
    <row r="372">
      <c r="D372" s="42"/>
      <c r="E372" s="43"/>
      <c r="AO372" s="19"/>
    </row>
    <row r="373">
      <c r="D373" s="42"/>
      <c r="E373" s="43"/>
      <c r="AO373" s="19"/>
    </row>
    <row r="374">
      <c r="D374" s="42"/>
      <c r="E374" s="43"/>
      <c r="AO374" s="19"/>
    </row>
    <row r="375">
      <c r="D375" s="42"/>
      <c r="E375" s="43"/>
      <c r="AO375" s="19"/>
    </row>
    <row r="376">
      <c r="D376" s="42"/>
      <c r="E376" s="43"/>
      <c r="AO376" s="19"/>
    </row>
    <row r="377">
      <c r="D377" s="42"/>
      <c r="E377" s="43"/>
      <c r="AO377" s="19"/>
    </row>
    <row r="378">
      <c r="D378" s="42"/>
      <c r="E378" s="43"/>
      <c r="AO378" s="19"/>
    </row>
    <row r="379">
      <c r="D379" s="42"/>
      <c r="E379" s="43"/>
      <c r="AO379" s="19"/>
    </row>
    <row r="380">
      <c r="D380" s="42"/>
      <c r="E380" s="43"/>
      <c r="AO380" s="19"/>
    </row>
    <row r="381">
      <c r="D381" s="42"/>
      <c r="E381" s="43"/>
      <c r="AO381" s="19"/>
    </row>
    <row r="382">
      <c r="D382" s="42"/>
      <c r="E382" s="43"/>
      <c r="AO382" s="19"/>
    </row>
    <row r="383">
      <c r="D383" s="42"/>
      <c r="E383" s="43"/>
      <c r="AO383" s="19"/>
    </row>
    <row r="384">
      <c r="D384" s="42"/>
      <c r="E384" s="43"/>
      <c r="AO384" s="19"/>
    </row>
    <row r="385">
      <c r="D385" s="42"/>
      <c r="E385" s="43"/>
      <c r="AO385" s="19"/>
    </row>
    <row r="386">
      <c r="D386" s="42"/>
      <c r="E386" s="43"/>
      <c r="AO386" s="19"/>
    </row>
    <row r="387">
      <c r="D387" s="42"/>
      <c r="E387" s="43"/>
      <c r="AO387" s="19"/>
    </row>
    <row r="388">
      <c r="D388" s="42"/>
      <c r="E388" s="43"/>
      <c r="AO388" s="19"/>
    </row>
    <row r="389">
      <c r="D389" s="42"/>
      <c r="E389" s="43"/>
      <c r="AO389" s="19"/>
    </row>
    <row r="390">
      <c r="D390" s="42"/>
      <c r="E390" s="43"/>
      <c r="AO390" s="19"/>
    </row>
    <row r="391">
      <c r="D391" s="42"/>
      <c r="E391" s="43"/>
      <c r="AO391" s="19"/>
    </row>
    <row r="392">
      <c r="D392" s="42"/>
      <c r="E392" s="43"/>
      <c r="AO392" s="19"/>
    </row>
    <row r="393">
      <c r="D393" s="42"/>
      <c r="E393" s="43"/>
      <c r="AO393" s="19"/>
    </row>
    <row r="394">
      <c r="D394" s="42"/>
      <c r="E394" s="43"/>
      <c r="AO394" s="19"/>
    </row>
    <row r="395">
      <c r="D395" s="42"/>
      <c r="E395" s="43"/>
      <c r="AO395" s="19"/>
    </row>
    <row r="396">
      <c r="D396" s="42"/>
      <c r="E396" s="43"/>
      <c r="AO396" s="19"/>
    </row>
    <row r="397">
      <c r="D397" s="42"/>
      <c r="E397" s="43"/>
      <c r="AO397" s="19"/>
    </row>
    <row r="398">
      <c r="D398" s="42"/>
      <c r="E398" s="43"/>
      <c r="AO398" s="19"/>
    </row>
    <row r="399">
      <c r="D399" s="42"/>
      <c r="E399" s="43"/>
      <c r="AO399" s="19"/>
    </row>
    <row r="400">
      <c r="D400" s="42"/>
      <c r="E400" s="43"/>
      <c r="AO400" s="19"/>
    </row>
    <row r="401">
      <c r="D401" s="42"/>
      <c r="E401" s="43"/>
      <c r="AO401" s="19"/>
    </row>
    <row r="402">
      <c r="D402" s="42"/>
      <c r="E402" s="43"/>
      <c r="AO402" s="19"/>
    </row>
    <row r="403">
      <c r="D403" s="42"/>
      <c r="E403" s="43"/>
      <c r="AO403" s="19"/>
    </row>
    <row r="404">
      <c r="D404" s="42"/>
      <c r="E404" s="43"/>
      <c r="AO404" s="19"/>
    </row>
    <row r="405">
      <c r="D405" s="42"/>
      <c r="E405" s="43"/>
      <c r="AO405" s="19"/>
    </row>
    <row r="406">
      <c r="D406" s="42"/>
      <c r="E406" s="43"/>
      <c r="AO406" s="19"/>
    </row>
    <row r="407">
      <c r="D407" s="42"/>
      <c r="E407" s="43"/>
      <c r="AO407" s="19"/>
    </row>
    <row r="408">
      <c r="D408" s="42"/>
      <c r="E408" s="43"/>
      <c r="AO408" s="19"/>
    </row>
    <row r="409">
      <c r="D409" s="42"/>
      <c r="E409" s="43"/>
      <c r="AO409" s="19"/>
    </row>
    <row r="410">
      <c r="D410" s="42"/>
      <c r="E410" s="43"/>
      <c r="AO410" s="19"/>
    </row>
    <row r="411">
      <c r="D411" s="42"/>
      <c r="E411" s="43"/>
      <c r="AO411" s="19"/>
    </row>
    <row r="412">
      <c r="D412" s="42"/>
      <c r="E412" s="43"/>
      <c r="AO412" s="19"/>
    </row>
    <row r="413">
      <c r="D413" s="42"/>
      <c r="E413" s="43"/>
      <c r="AO413" s="19"/>
    </row>
    <row r="414">
      <c r="D414" s="42"/>
      <c r="E414" s="43"/>
      <c r="AO414" s="19"/>
    </row>
    <row r="415">
      <c r="D415" s="42"/>
      <c r="E415" s="43"/>
      <c r="AO415" s="19"/>
    </row>
    <row r="416">
      <c r="D416" s="42"/>
      <c r="E416" s="43"/>
      <c r="AO416" s="19"/>
    </row>
    <row r="417">
      <c r="D417" s="42"/>
      <c r="E417" s="43"/>
      <c r="AO417" s="19"/>
    </row>
    <row r="418">
      <c r="D418" s="42"/>
      <c r="E418" s="43"/>
      <c r="AO418" s="19"/>
    </row>
    <row r="419">
      <c r="D419" s="42"/>
      <c r="E419" s="43"/>
      <c r="AO419" s="19"/>
    </row>
    <row r="420">
      <c r="D420" s="42"/>
      <c r="E420" s="43"/>
      <c r="AO420" s="19"/>
    </row>
    <row r="421">
      <c r="D421" s="42"/>
      <c r="E421" s="43"/>
      <c r="AO421" s="19"/>
    </row>
    <row r="422">
      <c r="D422" s="42"/>
      <c r="E422" s="43"/>
      <c r="AO422" s="19"/>
    </row>
    <row r="423">
      <c r="D423" s="42"/>
      <c r="E423" s="43"/>
      <c r="AO423" s="19"/>
    </row>
    <row r="424">
      <c r="D424" s="42"/>
      <c r="E424" s="43"/>
      <c r="AO424" s="19"/>
    </row>
    <row r="425">
      <c r="D425" s="42"/>
      <c r="E425" s="43"/>
      <c r="AO425" s="19"/>
    </row>
    <row r="426">
      <c r="D426" s="42"/>
      <c r="E426" s="43"/>
      <c r="AO426" s="19"/>
    </row>
    <row r="427">
      <c r="D427" s="42"/>
      <c r="E427" s="43"/>
      <c r="AO427" s="19"/>
    </row>
    <row r="428">
      <c r="D428" s="42"/>
      <c r="E428" s="43"/>
      <c r="AO428" s="19"/>
    </row>
    <row r="429">
      <c r="D429" s="42"/>
      <c r="E429" s="43"/>
      <c r="AO429" s="19"/>
    </row>
    <row r="430">
      <c r="D430" s="42"/>
      <c r="E430" s="43"/>
      <c r="AO430" s="19"/>
    </row>
    <row r="431">
      <c r="D431" s="42"/>
      <c r="E431" s="43"/>
      <c r="AO431" s="19"/>
    </row>
    <row r="432">
      <c r="D432" s="42"/>
      <c r="E432" s="43"/>
      <c r="AO432" s="19"/>
    </row>
    <row r="433">
      <c r="D433" s="42"/>
      <c r="E433" s="43"/>
      <c r="AO433" s="19"/>
    </row>
    <row r="434">
      <c r="D434" s="42"/>
      <c r="E434" s="43"/>
      <c r="AO434" s="19"/>
    </row>
    <row r="435">
      <c r="D435" s="42"/>
      <c r="E435" s="43"/>
      <c r="AO435" s="19"/>
    </row>
    <row r="436">
      <c r="D436" s="42"/>
      <c r="E436" s="43"/>
      <c r="AO436" s="19"/>
    </row>
    <row r="437">
      <c r="D437" s="42"/>
      <c r="E437" s="43"/>
      <c r="AO437" s="19"/>
    </row>
    <row r="438">
      <c r="D438" s="42"/>
      <c r="E438" s="43"/>
      <c r="AO438" s="19"/>
    </row>
    <row r="439">
      <c r="D439" s="42"/>
      <c r="E439" s="43"/>
      <c r="AO439" s="19"/>
    </row>
    <row r="440">
      <c r="D440" s="42"/>
      <c r="E440" s="43"/>
      <c r="AO440" s="19"/>
    </row>
    <row r="441">
      <c r="D441" s="42"/>
      <c r="E441" s="43"/>
      <c r="AO441" s="19"/>
    </row>
    <row r="442">
      <c r="D442" s="42"/>
      <c r="E442" s="43"/>
      <c r="AO442" s="19"/>
    </row>
    <row r="443">
      <c r="D443" s="42"/>
      <c r="E443" s="43"/>
      <c r="AO443" s="19"/>
    </row>
    <row r="444">
      <c r="D444" s="42"/>
      <c r="E444" s="43"/>
      <c r="AO444" s="19"/>
    </row>
    <row r="445">
      <c r="D445" s="42"/>
      <c r="E445" s="43"/>
      <c r="AO445" s="19"/>
    </row>
    <row r="446">
      <c r="D446" s="42"/>
      <c r="E446" s="43"/>
      <c r="AO446" s="19"/>
    </row>
    <row r="447">
      <c r="D447" s="42"/>
      <c r="E447" s="43"/>
      <c r="AO447" s="19"/>
    </row>
    <row r="448">
      <c r="D448" s="42"/>
      <c r="E448" s="43"/>
      <c r="AO448" s="19"/>
    </row>
    <row r="449">
      <c r="D449" s="42"/>
      <c r="E449" s="43"/>
      <c r="AO449" s="19"/>
    </row>
    <row r="450">
      <c r="D450" s="42"/>
      <c r="E450" s="43"/>
      <c r="AO450" s="19"/>
    </row>
    <row r="451">
      <c r="D451" s="42"/>
      <c r="E451" s="43"/>
      <c r="AO451" s="19"/>
    </row>
    <row r="452">
      <c r="D452" s="42"/>
      <c r="E452" s="43"/>
      <c r="AO452" s="19"/>
    </row>
    <row r="453">
      <c r="D453" s="42"/>
      <c r="E453" s="43"/>
      <c r="AO453" s="19"/>
    </row>
    <row r="454">
      <c r="D454" s="42"/>
      <c r="E454" s="43"/>
      <c r="AO454" s="19"/>
    </row>
    <row r="455">
      <c r="D455" s="42"/>
      <c r="E455" s="43"/>
      <c r="AO455" s="19"/>
    </row>
    <row r="456">
      <c r="D456" s="42"/>
      <c r="E456" s="43"/>
      <c r="AO456" s="19"/>
    </row>
    <row r="457">
      <c r="D457" s="42"/>
      <c r="E457" s="43"/>
      <c r="AO457" s="19"/>
    </row>
    <row r="458">
      <c r="D458" s="42"/>
      <c r="E458" s="43"/>
      <c r="AO458" s="19"/>
    </row>
    <row r="459">
      <c r="D459" s="42"/>
      <c r="E459" s="43"/>
      <c r="AO459" s="19"/>
    </row>
    <row r="460">
      <c r="D460" s="42"/>
      <c r="E460" s="43"/>
      <c r="AO460" s="19"/>
    </row>
    <row r="461">
      <c r="D461" s="42"/>
      <c r="E461" s="43"/>
      <c r="AO461" s="19"/>
    </row>
    <row r="462">
      <c r="D462" s="42"/>
      <c r="E462" s="43"/>
      <c r="AO462" s="19"/>
    </row>
    <row r="463">
      <c r="D463" s="42"/>
      <c r="E463" s="43"/>
      <c r="AO463" s="19"/>
    </row>
    <row r="464">
      <c r="D464" s="42"/>
      <c r="E464" s="43"/>
      <c r="AO464" s="19"/>
    </row>
    <row r="465">
      <c r="D465" s="42"/>
      <c r="E465" s="43"/>
      <c r="AO465" s="19"/>
    </row>
    <row r="466">
      <c r="D466" s="42"/>
      <c r="E466" s="43"/>
      <c r="AO466" s="19"/>
    </row>
    <row r="467">
      <c r="D467" s="42"/>
      <c r="E467" s="43"/>
      <c r="AO467" s="19"/>
    </row>
    <row r="468">
      <c r="D468" s="42"/>
      <c r="E468" s="43"/>
      <c r="AO468" s="19"/>
    </row>
    <row r="469">
      <c r="D469" s="42"/>
      <c r="E469" s="43"/>
      <c r="AO469" s="19"/>
    </row>
    <row r="470">
      <c r="D470" s="42"/>
      <c r="E470" s="43"/>
      <c r="AO470" s="19"/>
    </row>
    <row r="471">
      <c r="D471" s="42"/>
      <c r="E471" s="43"/>
      <c r="AO471" s="19"/>
    </row>
    <row r="472">
      <c r="D472" s="42"/>
      <c r="E472" s="43"/>
      <c r="AO472" s="19"/>
    </row>
    <row r="473">
      <c r="D473" s="42"/>
      <c r="E473" s="43"/>
      <c r="AO473" s="19"/>
    </row>
    <row r="474">
      <c r="D474" s="42"/>
      <c r="E474" s="43"/>
      <c r="AO474" s="19"/>
    </row>
    <row r="475">
      <c r="D475" s="42"/>
      <c r="E475" s="43"/>
      <c r="AO475" s="19"/>
    </row>
    <row r="476">
      <c r="D476" s="42"/>
      <c r="E476" s="43"/>
      <c r="AO476" s="19"/>
    </row>
    <row r="477">
      <c r="D477" s="42"/>
      <c r="E477" s="43"/>
      <c r="AO477" s="19"/>
    </row>
    <row r="478">
      <c r="D478" s="42"/>
      <c r="E478" s="43"/>
      <c r="AO478" s="19"/>
    </row>
    <row r="479">
      <c r="D479" s="42"/>
      <c r="E479" s="43"/>
      <c r="AO479" s="19"/>
    </row>
    <row r="480">
      <c r="D480" s="42"/>
      <c r="E480" s="43"/>
      <c r="AO480" s="19"/>
    </row>
    <row r="481">
      <c r="D481" s="42"/>
      <c r="E481" s="43"/>
      <c r="AO481" s="19"/>
    </row>
    <row r="482">
      <c r="D482" s="42"/>
      <c r="E482" s="43"/>
      <c r="AO482" s="19"/>
    </row>
    <row r="483">
      <c r="D483" s="42"/>
      <c r="E483" s="43"/>
      <c r="AO483" s="19"/>
    </row>
    <row r="484">
      <c r="D484" s="42"/>
      <c r="E484" s="43"/>
      <c r="AO484" s="19"/>
    </row>
    <row r="485">
      <c r="D485" s="42"/>
      <c r="E485" s="43"/>
      <c r="AO485" s="19"/>
    </row>
    <row r="486">
      <c r="D486" s="42"/>
      <c r="E486" s="43"/>
      <c r="AO486" s="19"/>
    </row>
    <row r="487">
      <c r="D487" s="42"/>
      <c r="E487" s="43"/>
      <c r="AO487" s="19"/>
    </row>
    <row r="488">
      <c r="D488" s="42"/>
      <c r="E488" s="43"/>
      <c r="AO488" s="19"/>
    </row>
    <row r="489">
      <c r="D489" s="42"/>
      <c r="E489" s="43"/>
      <c r="AO489" s="19"/>
    </row>
    <row r="490">
      <c r="D490" s="42"/>
      <c r="E490" s="43"/>
      <c r="AO490" s="19"/>
    </row>
    <row r="491">
      <c r="D491" s="42"/>
      <c r="E491" s="43"/>
      <c r="AO491" s="19"/>
    </row>
    <row r="492">
      <c r="D492" s="42"/>
      <c r="E492" s="43"/>
      <c r="AO492" s="19"/>
    </row>
    <row r="493">
      <c r="D493" s="42"/>
      <c r="E493" s="43"/>
      <c r="AO493" s="19"/>
    </row>
    <row r="494">
      <c r="D494" s="42"/>
      <c r="E494" s="43"/>
      <c r="AO494" s="19"/>
    </row>
    <row r="495">
      <c r="D495" s="42"/>
      <c r="E495" s="43"/>
      <c r="AO495" s="19"/>
    </row>
    <row r="496">
      <c r="D496" s="42"/>
      <c r="E496" s="43"/>
      <c r="AO496" s="19"/>
    </row>
    <row r="497">
      <c r="D497" s="42"/>
      <c r="E497" s="43"/>
      <c r="AO497" s="19"/>
    </row>
    <row r="498">
      <c r="D498" s="42"/>
      <c r="E498" s="43"/>
      <c r="AO498" s="19"/>
    </row>
    <row r="499">
      <c r="D499" s="42"/>
      <c r="E499" s="43"/>
      <c r="AO499" s="19"/>
    </row>
    <row r="500">
      <c r="D500" s="42"/>
      <c r="E500" s="43"/>
      <c r="AO500" s="19"/>
    </row>
    <row r="501">
      <c r="D501" s="42"/>
      <c r="E501" s="43"/>
      <c r="AO501" s="19"/>
    </row>
    <row r="502">
      <c r="D502" s="42"/>
      <c r="E502" s="43"/>
      <c r="AO502" s="19"/>
    </row>
    <row r="503">
      <c r="D503" s="42"/>
      <c r="E503" s="43"/>
      <c r="AO503" s="19"/>
    </row>
    <row r="504">
      <c r="D504" s="42"/>
      <c r="E504" s="43"/>
      <c r="AO504" s="19"/>
    </row>
    <row r="505">
      <c r="D505" s="42"/>
      <c r="E505" s="43"/>
      <c r="AO505" s="19"/>
    </row>
    <row r="506">
      <c r="D506" s="42"/>
      <c r="E506" s="43"/>
      <c r="AO506" s="19"/>
    </row>
    <row r="507">
      <c r="D507" s="42"/>
      <c r="E507" s="43"/>
      <c r="AO507" s="19"/>
    </row>
    <row r="508">
      <c r="D508" s="42"/>
      <c r="E508" s="43"/>
      <c r="AO508" s="19"/>
    </row>
    <row r="509">
      <c r="D509" s="42"/>
      <c r="E509" s="43"/>
      <c r="AO509" s="19"/>
    </row>
    <row r="510">
      <c r="D510" s="42"/>
      <c r="E510" s="43"/>
      <c r="AO510" s="19"/>
    </row>
    <row r="511">
      <c r="D511" s="42"/>
      <c r="E511" s="43"/>
      <c r="AO511" s="19"/>
    </row>
    <row r="512">
      <c r="D512" s="42"/>
      <c r="E512" s="43"/>
      <c r="AO512" s="19"/>
    </row>
    <row r="513">
      <c r="D513" s="42"/>
      <c r="E513" s="43"/>
      <c r="AO513" s="19"/>
    </row>
    <row r="514">
      <c r="D514" s="42"/>
      <c r="E514" s="43"/>
      <c r="AO514" s="19"/>
    </row>
    <row r="515">
      <c r="D515" s="42"/>
      <c r="E515" s="43"/>
      <c r="AO515" s="19"/>
    </row>
    <row r="516">
      <c r="D516" s="42"/>
      <c r="E516" s="43"/>
      <c r="AO516" s="19"/>
    </row>
    <row r="517">
      <c r="D517" s="42"/>
      <c r="E517" s="43"/>
      <c r="AO517" s="19"/>
    </row>
    <row r="518">
      <c r="D518" s="42"/>
      <c r="E518" s="43"/>
      <c r="AO518" s="19"/>
    </row>
    <row r="519">
      <c r="D519" s="42"/>
      <c r="E519" s="43"/>
      <c r="AO519" s="19"/>
    </row>
    <row r="520">
      <c r="D520" s="42"/>
      <c r="E520" s="43"/>
      <c r="AO520" s="19"/>
    </row>
    <row r="521">
      <c r="D521" s="42"/>
      <c r="E521" s="43"/>
      <c r="AO521" s="19"/>
    </row>
    <row r="522">
      <c r="D522" s="42"/>
      <c r="E522" s="43"/>
      <c r="AO522" s="19"/>
    </row>
    <row r="523">
      <c r="D523" s="42"/>
      <c r="E523" s="43"/>
      <c r="AO523" s="19"/>
    </row>
    <row r="524">
      <c r="D524" s="42"/>
      <c r="E524" s="43"/>
      <c r="AO524" s="19"/>
    </row>
    <row r="525">
      <c r="D525" s="42"/>
      <c r="E525" s="43"/>
      <c r="AO525" s="19"/>
    </row>
    <row r="526">
      <c r="D526" s="42"/>
      <c r="E526" s="43"/>
      <c r="AO526" s="19"/>
    </row>
    <row r="527">
      <c r="D527" s="42"/>
      <c r="E527" s="43"/>
      <c r="AO527" s="19"/>
    </row>
    <row r="528">
      <c r="D528" s="42"/>
      <c r="E528" s="43"/>
      <c r="AO528" s="19"/>
    </row>
    <row r="529">
      <c r="D529" s="42"/>
      <c r="E529" s="43"/>
      <c r="AO529" s="19"/>
    </row>
    <row r="530">
      <c r="D530" s="42"/>
      <c r="E530" s="43"/>
      <c r="AO530" s="19"/>
    </row>
    <row r="531">
      <c r="D531" s="42"/>
      <c r="E531" s="43"/>
      <c r="AO531" s="19"/>
    </row>
    <row r="532">
      <c r="D532" s="42"/>
      <c r="E532" s="43"/>
      <c r="AO532" s="19"/>
    </row>
    <row r="533">
      <c r="D533" s="42"/>
      <c r="E533" s="43"/>
      <c r="AO533" s="19"/>
    </row>
    <row r="534">
      <c r="D534" s="42"/>
      <c r="E534" s="43"/>
      <c r="AO534" s="19"/>
    </row>
    <row r="535">
      <c r="D535" s="42"/>
      <c r="E535" s="43"/>
      <c r="AO535" s="19"/>
    </row>
    <row r="536">
      <c r="D536" s="42"/>
      <c r="E536" s="43"/>
      <c r="AO536" s="19"/>
    </row>
    <row r="537">
      <c r="D537" s="42"/>
      <c r="E537" s="43"/>
      <c r="AO537" s="19"/>
    </row>
    <row r="538">
      <c r="D538" s="42"/>
      <c r="E538" s="43"/>
      <c r="AO538" s="19"/>
    </row>
    <row r="539">
      <c r="D539" s="42"/>
      <c r="E539" s="43"/>
      <c r="AO539" s="19"/>
    </row>
    <row r="540">
      <c r="D540" s="42"/>
      <c r="E540" s="43"/>
      <c r="AO540" s="19"/>
    </row>
    <row r="541">
      <c r="D541" s="42"/>
      <c r="E541" s="43"/>
      <c r="AO541" s="19"/>
    </row>
    <row r="542">
      <c r="D542" s="42"/>
      <c r="E542" s="43"/>
      <c r="AO542" s="19"/>
    </row>
    <row r="543">
      <c r="D543" s="42"/>
      <c r="E543" s="43"/>
      <c r="AO543" s="19"/>
    </row>
    <row r="544">
      <c r="D544" s="42"/>
      <c r="E544" s="43"/>
      <c r="AO544" s="19"/>
    </row>
    <row r="545">
      <c r="D545" s="42"/>
      <c r="E545" s="43"/>
      <c r="AO545" s="19"/>
    </row>
    <row r="546">
      <c r="D546" s="42"/>
      <c r="E546" s="43"/>
      <c r="AO546" s="19"/>
    </row>
    <row r="547">
      <c r="D547" s="42"/>
      <c r="E547" s="43"/>
      <c r="AO547" s="19"/>
    </row>
    <row r="548">
      <c r="D548" s="42"/>
      <c r="E548" s="43"/>
      <c r="AO548" s="19"/>
    </row>
    <row r="549">
      <c r="D549" s="42"/>
      <c r="E549" s="43"/>
      <c r="AO549" s="19"/>
    </row>
    <row r="550">
      <c r="D550" s="42"/>
      <c r="E550" s="43"/>
      <c r="AO550" s="19"/>
    </row>
    <row r="551">
      <c r="D551" s="42"/>
      <c r="E551" s="43"/>
      <c r="AO551" s="19"/>
    </row>
    <row r="552">
      <c r="D552" s="42"/>
      <c r="E552" s="43"/>
      <c r="AO552" s="19"/>
    </row>
    <row r="553">
      <c r="D553" s="42"/>
      <c r="E553" s="43"/>
      <c r="AO553" s="19"/>
    </row>
    <row r="554">
      <c r="D554" s="42"/>
      <c r="E554" s="43"/>
      <c r="AO554" s="19"/>
    </row>
    <row r="555">
      <c r="D555" s="42"/>
      <c r="E555" s="43"/>
      <c r="AO555" s="19"/>
    </row>
    <row r="556">
      <c r="D556" s="42"/>
      <c r="E556" s="43"/>
      <c r="AO556" s="19"/>
    </row>
    <row r="557">
      <c r="D557" s="42"/>
      <c r="E557" s="43"/>
      <c r="AO557" s="19"/>
    </row>
    <row r="558">
      <c r="D558" s="42"/>
      <c r="E558" s="43"/>
      <c r="AO558" s="19"/>
    </row>
    <row r="559">
      <c r="D559" s="42"/>
      <c r="E559" s="43"/>
      <c r="AO559" s="19"/>
    </row>
    <row r="560">
      <c r="D560" s="42"/>
      <c r="E560" s="43"/>
      <c r="AO560" s="19"/>
    </row>
    <row r="561">
      <c r="D561" s="42"/>
      <c r="E561" s="43"/>
      <c r="AO561" s="19"/>
    </row>
    <row r="562">
      <c r="D562" s="42"/>
      <c r="E562" s="43"/>
      <c r="AO562" s="19"/>
    </row>
    <row r="563">
      <c r="D563" s="42"/>
      <c r="E563" s="43"/>
      <c r="AO563" s="19"/>
    </row>
    <row r="564">
      <c r="D564" s="42"/>
      <c r="E564" s="43"/>
      <c r="AO564" s="19"/>
    </row>
    <row r="565">
      <c r="D565" s="42"/>
      <c r="E565" s="43"/>
      <c r="AO565" s="19"/>
    </row>
    <row r="566">
      <c r="D566" s="42"/>
      <c r="E566" s="43"/>
      <c r="AO566" s="19"/>
    </row>
    <row r="567">
      <c r="D567" s="42"/>
      <c r="E567" s="43"/>
      <c r="AO567" s="19"/>
    </row>
    <row r="568">
      <c r="D568" s="42"/>
      <c r="E568" s="43"/>
      <c r="AO568" s="19"/>
    </row>
    <row r="569">
      <c r="D569" s="42"/>
      <c r="E569" s="43"/>
      <c r="AO569" s="19"/>
    </row>
    <row r="570">
      <c r="D570" s="42"/>
      <c r="E570" s="43"/>
      <c r="AO570" s="19"/>
    </row>
    <row r="571">
      <c r="D571" s="42"/>
      <c r="E571" s="43"/>
      <c r="AO571" s="19"/>
    </row>
    <row r="572">
      <c r="D572" s="42"/>
      <c r="E572" s="43"/>
      <c r="AO572" s="19"/>
    </row>
    <row r="573">
      <c r="D573" s="42"/>
      <c r="E573" s="43"/>
      <c r="AO573" s="19"/>
    </row>
    <row r="574">
      <c r="D574" s="42"/>
      <c r="E574" s="43"/>
      <c r="AO574" s="19"/>
    </row>
    <row r="575">
      <c r="D575" s="42"/>
      <c r="E575" s="43"/>
      <c r="AO575" s="19"/>
    </row>
    <row r="576">
      <c r="D576" s="42"/>
      <c r="E576" s="43"/>
      <c r="AO576" s="19"/>
    </row>
    <row r="577">
      <c r="D577" s="42"/>
      <c r="E577" s="43"/>
      <c r="AO577" s="19"/>
    </row>
    <row r="578">
      <c r="D578" s="42"/>
      <c r="E578" s="43"/>
      <c r="AO578" s="19"/>
    </row>
    <row r="579">
      <c r="D579" s="42"/>
      <c r="E579" s="43"/>
      <c r="AO579" s="19"/>
    </row>
    <row r="580">
      <c r="D580" s="42"/>
      <c r="E580" s="43"/>
      <c r="AO580" s="19"/>
    </row>
    <row r="581">
      <c r="D581" s="42"/>
      <c r="E581" s="43"/>
      <c r="AO581" s="19"/>
    </row>
    <row r="582">
      <c r="D582" s="42"/>
      <c r="E582" s="43"/>
      <c r="AO582" s="19"/>
    </row>
    <row r="583">
      <c r="D583" s="42"/>
      <c r="E583" s="43"/>
      <c r="AO583" s="19"/>
    </row>
    <row r="584">
      <c r="D584" s="42"/>
      <c r="E584" s="43"/>
      <c r="AO584" s="19"/>
    </row>
    <row r="585">
      <c r="D585" s="42"/>
      <c r="E585" s="43"/>
      <c r="AO585" s="19"/>
    </row>
    <row r="586">
      <c r="D586" s="42"/>
      <c r="E586" s="43"/>
      <c r="AO586" s="19"/>
    </row>
    <row r="587">
      <c r="D587" s="42"/>
      <c r="E587" s="43"/>
      <c r="AO587" s="19"/>
    </row>
    <row r="588">
      <c r="D588" s="42"/>
      <c r="E588" s="43"/>
      <c r="AO588" s="19"/>
    </row>
    <row r="589">
      <c r="D589" s="42"/>
      <c r="E589" s="43"/>
      <c r="AO589" s="19"/>
    </row>
    <row r="590">
      <c r="D590" s="42"/>
      <c r="E590" s="43"/>
      <c r="AO590" s="19"/>
    </row>
    <row r="591">
      <c r="D591" s="42"/>
      <c r="E591" s="43"/>
      <c r="AO591" s="19"/>
    </row>
    <row r="592">
      <c r="D592" s="42"/>
      <c r="E592" s="43"/>
      <c r="AO592" s="19"/>
    </row>
    <row r="593">
      <c r="D593" s="42"/>
      <c r="E593" s="43"/>
      <c r="AO593" s="19"/>
    </row>
    <row r="594">
      <c r="D594" s="42"/>
      <c r="E594" s="43"/>
      <c r="AO594" s="19"/>
    </row>
    <row r="595">
      <c r="D595" s="42"/>
      <c r="E595" s="43"/>
      <c r="AO595" s="19"/>
    </row>
    <row r="596">
      <c r="D596" s="42"/>
      <c r="E596" s="43"/>
      <c r="AO596" s="19"/>
    </row>
    <row r="597">
      <c r="D597" s="42"/>
      <c r="E597" s="43"/>
      <c r="AO597" s="19"/>
    </row>
    <row r="598">
      <c r="D598" s="42"/>
      <c r="E598" s="43"/>
      <c r="AO598" s="19"/>
    </row>
    <row r="599">
      <c r="D599" s="42"/>
      <c r="E599" s="43"/>
      <c r="AO599" s="19"/>
    </row>
    <row r="600">
      <c r="D600" s="42"/>
      <c r="E600" s="43"/>
      <c r="AO600" s="19"/>
    </row>
    <row r="601">
      <c r="D601" s="42"/>
      <c r="E601" s="43"/>
      <c r="AO601" s="19"/>
    </row>
    <row r="602">
      <c r="D602" s="42"/>
      <c r="E602" s="43"/>
      <c r="AO602" s="19"/>
    </row>
    <row r="603">
      <c r="D603" s="42"/>
      <c r="E603" s="43"/>
      <c r="AO603" s="19"/>
    </row>
    <row r="604">
      <c r="D604" s="42"/>
      <c r="E604" s="43"/>
      <c r="AO604" s="19"/>
    </row>
    <row r="605">
      <c r="D605" s="42"/>
      <c r="E605" s="43"/>
      <c r="AO605" s="19"/>
    </row>
    <row r="606">
      <c r="D606" s="42"/>
      <c r="E606" s="43"/>
      <c r="AO606" s="19"/>
    </row>
    <row r="607">
      <c r="D607" s="42"/>
      <c r="E607" s="43"/>
      <c r="AO607" s="19"/>
    </row>
    <row r="608">
      <c r="D608" s="42"/>
      <c r="E608" s="43"/>
      <c r="AO608" s="19"/>
    </row>
    <row r="609">
      <c r="D609" s="42"/>
      <c r="E609" s="43"/>
      <c r="AO609" s="19"/>
    </row>
    <row r="610">
      <c r="D610" s="42"/>
      <c r="E610" s="43"/>
      <c r="AO610" s="19"/>
    </row>
    <row r="611">
      <c r="D611" s="42"/>
      <c r="E611" s="43"/>
      <c r="AO611" s="19"/>
    </row>
    <row r="612">
      <c r="D612" s="42"/>
      <c r="E612" s="43"/>
      <c r="AO612" s="19"/>
    </row>
    <row r="613">
      <c r="D613" s="42"/>
      <c r="E613" s="43"/>
      <c r="AO613" s="19"/>
    </row>
    <row r="614">
      <c r="D614" s="42"/>
      <c r="E614" s="43"/>
      <c r="AO614" s="19"/>
    </row>
    <row r="615">
      <c r="D615" s="42"/>
      <c r="E615" s="43"/>
      <c r="AO615" s="19"/>
    </row>
    <row r="616">
      <c r="D616" s="42"/>
      <c r="E616" s="43"/>
      <c r="AO616" s="19"/>
    </row>
    <row r="617">
      <c r="D617" s="42"/>
      <c r="E617" s="43"/>
      <c r="AO617" s="19"/>
    </row>
    <row r="618">
      <c r="D618" s="42"/>
      <c r="E618" s="43"/>
      <c r="AO618" s="19"/>
    </row>
    <row r="619">
      <c r="D619" s="42"/>
      <c r="E619" s="43"/>
      <c r="AO619" s="19"/>
    </row>
    <row r="620">
      <c r="D620" s="42"/>
      <c r="E620" s="43"/>
      <c r="AO620" s="19"/>
    </row>
    <row r="621">
      <c r="D621" s="42"/>
      <c r="E621" s="43"/>
      <c r="AO621" s="19"/>
    </row>
    <row r="622">
      <c r="D622" s="42"/>
      <c r="E622" s="43"/>
      <c r="AO622" s="19"/>
    </row>
    <row r="623">
      <c r="D623" s="42"/>
      <c r="E623" s="43"/>
      <c r="AO623" s="19"/>
    </row>
    <row r="624">
      <c r="D624" s="42"/>
      <c r="E624" s="43"/>
      <c r="AO624" s="19"/>
    </row>
    <row r="625">
      <c r="D625" s="42"/>
      <c r="E625" s="43"/>
      <c r="AO625" s="19"/>
    </row>
    <row r="626">
      <c r="D626" s="42"/>
      <c r="E626" s="43"/>
      <c r="AO626" s="19"/>
    </row>
    <row r="627">
      <c r="D627" s="42"/>
      <c r="E627" s="43"/>
      <c r="AO627" s="19"/>
    </row>
    <row r="628">
      <c r="D628" s="42"/>
      <c r="E628" s="43"/>
      <c r="AO628" s="19"/>
    </row>
    <row r="629">
      <c r="D629" s="42"/>
      <c r="E629" s="43"/>
      <c r="AO629" s="19"/>
    </row>
    <row r="630">
      <c r="D630" s="42"/>
      <c r="E630" s="43"/>
      <c r="AO630" s="19"/>
    </row>
    <row r="631">
      <c r="D631" s="42"/>
      <c r="E631" s="43"/>
      <c r="AO631" s="19"/>
    </row>
    <row r="632">
      <c r="D632" s="42"/>
      <c r="E632" s="43"/>
      <c r="AO632" s="19"/>
    </row>
    <row r="633">
      <c r="D633" s="42"/>
      <c r="E633" s="43"/>
      <c r="AO633" s="19"/>
    </row>
    <row r="634">
      <c r="D634" s="42"/>
      <c r="E634" s="43"/>
      <c r="AO634" s="19"/>
    </row>
    <row r="635">
      <c r="D635" s="42"/>
      <c r="E635" s="43"/>
      <c r="AO635" s="19"/>
    </row>
    <row r="636">
      <c r="D636" s="42"/>
      <c r="E636" s="43"/>
      <c r="AO636" s="19"/>
    </row>
    <row r="637">
      <c r="D637" s="42"/>
      <c r="E637" s="43"/>
      <c r="AO637" s="19"/>
    </row>
    <row r="638">
      <c r="D638" s="42"/>
      <c r="E638" s="43"/>
      <c r="AO638" s="19"/>
    </row>
    <row r="639">
      <c r="D639" s="42"/>
      <c r="E639" s="43"/>
      <c r="AO639" s="19"/>
    </row>
    <row r="640">
      <c r="D640" s="42"/>
      <c r="E640" s="43"/>
      <c r="AO640" s="19"/>
    </row>
    <row r="641">
      <c r="D641" s="42"/>
      <c r="E641" s="43"/>
      <c r="AO641" s="19"/>
    </row>
    <row r="642">
      <c r="D642" s="42"/>
      <c r="E642" s="43"/>
      <c r="AO642" s="19"/>
    </row>
    <row r="643">
      <c r="D643" s="42"/>
      <c r="E643" s="43"/>
      <c r="AO643" s="19"/>
    </row>
    <row r="644">
      <c r="D644" s="42"/>
      <c r="E644" s="43"/>
      <c r="AO644" s="19"/>
    </row>
    <row r="645">
      <c r="D645" s="42"/>
      <c r="E645" s="43"/>
      <c r="AO645" s="19"/>
    </row>
    <row r="646">
      <c r="D646" s="42"/>
      <c r="E646" s="43"/>
      <c r="AO646" s="19"/>
    </row>
    <row r="647">
      <c r="D647" s="42"/>
      <c r="E647" s="43"/>
      <c r="AO647" s="19"/>
    </row>
    <row r="648">
      <c r="D648" s="42"/>
      <c r="E648" s="43"/>
      <c r="AO648" s="19"/>
    </row>
    <row r="649">
      <c r="D649" s="42"/>
      <c r="E649" s="43"/>
      <c r="AO649" s="19"/>
    </row>
    <row r="650">
      <c r="D650" s="42"/>
      <c r="E650" s="43"/>
      <c r="AO650" s="19"/>
    </row>
    <row r="651">
      <c r="D651" s="42"/>
      <c r="E651" s="43"/>
      <c r="AO651" s="19"/>
    </row>
    <row r="652">
      <c r="D652" s="42"/>
      <c r="E652" s="43"/>
      <c r="AO652" s="19"/>
    </row>
    <row r="653">
      <c r="D653" s="42"/>
      <c r="E653" s="43"/>
      <c r="AO653" s="19"/>
    </row>
    <row r="654">
      <c r="D654" s="42"/>
      <c r="E654" s="43"/>
      <c r="AO654" s="19"/>
    </row>
    <row r="655">
      <c r="D655" s="42"/>
      <c r="E655" s="43"/>
      <c r="AO655" s="19"/>
    </row>
    <row r="656">
      <c r="D656" s="42"/>
      <c r="E656" s="43"/>
      <c r="AO656" s="19"/>
    </row>
    <row r="657">
      <c r="D657" s="42"/>
      <c r="E657" s="43"/>
      <c r="AO657" s="19"/>
    </row>
    <row r="658">
      <c r="D658" s="42"/>
      <c r="E658" s="43"/>
      <c r="AO658" s="19"/>
    </row>
    <row r="659">
      <c r="D659" s="42"/>
      <c r="E659" s="43"/>
      <c r="AO659" s="19"/>
    </row>
    <row r="660">
      <c r="D660" s="42"/>
      <c r="E660" s="43"/>
      <c r="AO660" s="19"/>
    </row>
    <row r="661">
      <c r="D661" s="42"/>
      <c r="E661" s="43"/>
      <c r="AO661" s="19"/>
    </row>
    <row r="662">
      <c r="D662" s="42"/>
      <c r="E662" s="43"/>
      <c r="AO662" s="19"/>
    </row>
    <row r="663">
      <c r="D663" s="42"/>
      <c r="E663" s="43"/>
      <c r="AO663" s="19"/>
    </row>
    <row r="664">
      <c r="D664" s="42"/>
      <c r="E664" s="43"/>
      <c r="AO664" s="19"/>
    </row>
    <row r="665">
      <c r="D665" s="42"/>
      <c r="E665" s="43"/>
      <c r="AO665" s="19"/>
    </row>
    <row r="666">
      <c r="D666" s="42"/>
      <c r="E666" s="43"/>
      <c r="AO666" s="19"/>
    </row>
    <row r="667">
      <c r="D667" s="42"/>
      <c r="E667" s="43"/>
      <c r="AO667" s="19"/>
    </row>
    <row r="668">
      <c r="D668" s="42"/>
      <c r="E668" s="43"/>
      <c r="AO668" s="19"/>
    </row>
    <row r="669">
      <c r="D669" s="42"/>
      <c r="E669" s="43"/>
      <c r="AO669" s="19"/>
    </row>
    <row r="670">
      <c r="D670" s="42"/>
      <c r="E670" s="43"/>
      <c r="AO670" s="19"/>
    </row>
    <row r="671">
      <c r="D671" s="42"/>
      <c r="E671" s="43"/>
      <c r="AO671" s="19"/>
    </row>
    <row r="672">
      <c r="D672" s="42"/>
      <c r="E672" s="43"/>
      <c r="AO672" s="19"/>
    </row>
    <row r="673">
      <c r="D673" s="42"/>
      <c r="E673" s="43"/>
      <c r="AO673" s="19"/>
    </row>
    <row r="674">
      <c r="D674" s="42"/>
      <c r="E674" s="43"/>
      <c r="AO674" s="19"/>
    </row>
    <row r="675">
      <c r="D675" s="42"/>
      <c r="E675" s="43"/>
      <c r="AO675" s="19"/>
    </row>
    <row r="676">
      <c r="D676" s="42"/>
      <c r="E676" s="43"/>
      <c r="AO676" s="19"/>
    </row>
    <row r="677">
      <c r="D677" s="42"/>
      <c r="E677" s="43"/>
      <c r="AO677" s="19"/>
    </row>
    <row r="678">
      <c r="D678" s="42"/>
      <c r="E678" s="43"/>
      <c r="AO678" s="19"/>
    </row>
    <row r="679">
      <c r="D679" s="42"/>
      <c r="E679" s="43"/>
      <c r="AO679" s="19"/>
    </row>
    <row r="680">
      <c r="D680" s="42"/>
      <c r="E680" s="43"/>
      <c r="AO680" s="19"/>
    </row>
    <row r="681">
      <c r="D681" s="42"/>
      <c r="E681" s="43"/>
      <c r="AO681" s="19"/>
    </row>
    <row r="682">
      <c r="D682" s="42"/>
      <c r="E682" s="43"/>
      <c r="AO682" s="19"/>
    </row>
    <row r="683">
      <c r="D683" s="42"/>
      <c r="E683" s="43"/>
      <c r="AO683" s="19"/>
    </row>
    <row r="684">
      <c r="D684" s="42"/>
      <c r="E684" s="43"/>
      <c r="AO684" s="19"/>
    </row>
    <row r="685">
      <c r="D685" s="42"/>
      <c r="E685" s="43"/>
      <c r="AO685" s="19"/>
    </row>
    <row r="686">
      <c r="D686" s="42"/>
      <c r="E686" s="43"/>
      <c r="AO686" s="19"/>
    </row>
    <row r="687">
      <c r="D687" s="42"/>
      <c r="E687" s="43"/>
      <c r="AO687" s="19"/>
    </row>
    <row r="688">
      <c r="D688" s="42"/>
      <c r="E688" s="43"/>
      <c r="AO688" s="19"/>
    </row>
    <row r="689">
      <c r="D689" s="42"/>
      <c r="E689" s="43"/>
      <c r="AO689" s="19"/>
    </row>
    <row r="690">
      <c r="D690" s="42"/>
      <c r="E690" s="43"/>
      <c r="AO690" s="19"/>
    </row>
    <row r="691">
      <c r="D691" s="42"/>
      <c r="E691" s="43"/>
      <c r="AO691" s="19"/>
    </row>
    <row r="692">
      <c r="D692" s="42"/>
      <c r="E692" s="43"/>
      <c r="AO692" s="19"/>
    </row>
    <row r="693">
      <c r="D693" s="42"/>
      <c r="E693" s="43"/>
      <c r="AO693" s="19"/>
    </row>
    <row r="694">
      <c r="D694" s="42"/>
      <c r="E694" s="43"/>
      <c r="AO694" s="19"/>
    </row>
    <row r="695">
      <c r="D695" s="42"/>
      <c r="E695" s="43"/>
      <c r="AO695" s="19"/>
    </row>
    <row r="696">
      <c r="D696" s="42"/>
      <c r="E696" s="43"/>
      <c r="AO696" s="19"/>
    </row>
    <row r="697">
      <c r="D697" s="42"/>
      <c r="E697" s="43"/>
      <c r="AO697" s="19"/>
    </row>
    <row r="698">
      <c r="D698" s="42"/>
      <c r="E698" s="43"/>
      <c r="AO698" s="19"/>
    </row>
    <row r="699">
      <c r="D699" s="42"/>
      <c r="E699" s="43"/>
      <c r="AO699" s="19"/>
    </row>
    <row r="700">
      <c r="D700" s="42"/>
      <c r="E700" s="43"/>
      <c r="AO700" s="19"/>
    </row>
    <row r="701">
      <c r="D701" s="42"/>
      <c r="E701" s="43"/>
      <c r="AO701" s="19"/>
    </row>
    <row r="702">
      <c r="D702" s="42"/>
      <c r="E702" s="43"/>
      <c r="AO702" s="19"/>
    </row>
    <row r="703">
      <c r="D703" s="42"/>
      <c r="E703" s="43"/>
      <c r="AO703" s="19"/>
    </row>
    <row r="704">
      <c r="D704" s="42"/>
      <c r="E704" s="43"/>
      <c r="AO704" s="19"/>
    </row>
    <row r="705">
      <c r="D705" s="42"/>
      <c r="E705" s="43"/>
      <c r="AO705" s="19"/>
    </row>
    <row r="706">
      <c r="D706" s="42"/>
      <c r="E706" s="43"/>
      <c r="AO706" s="19"/>
    </row>
    <row r="707">
      <c r="D707" s="42"/>
      <c r="E707" s="43"/>
      <c r="AO707" s="19"/>
    </row>
    <row r="708">
      <c r="D708" s="42"/>
      <c r="E708" s="43"/>
      <c r="AO708" s="19"/>
    </row>
    <row r="709">
      <c r="D709" s="42"/>
      <c r="E709" s="43"/>
      <c r="AO709" s="19"/>
    </row>
    <row r="710">
      <c r="D710" s="42"/>
      <c r="E710" s="43"/>
      <c r="AO710" s="19"/>
    </row>
    <row r="711">
      <c r="D711" s="42"/>
      <c r="E711" s="43"/>
      <c r="AO711" s="19"/>
    </row>
    <row r="712">
      <c r="D712" s="42"/>
      <c r="E712" s="43"/>
      <c r="AO712" s="19"/>
    </row>
    <row r="713">
      <c r="D713" s="42"/>
      <c r="E713" s="43"/>
      <c r="AO713" s="19"/>
    </row>
    <row r="714">
      <c r="D714" s="42"/>
      <c r="E714" s="43"/>
      <c r="AO714" s="19"/>
    </row>
    <row r="715">
      <c r="D715" s="42"/>
      <c r="E715" s="43"/>
      <c r="AO715" s="19"/>
    </row>
    <row r="716">
      <c r="D716" s="42"/>
      <c r="E716" s="43"/>
      <c r="AO716" s="19"/>
    </row>
    <row r="717">
      <c r="D717" s="42"/>
      <c r="E717" s="43"/>
      <c r="AO717" s="19"/>
    </row>
    <row r="718">
      <c r="D718" s="42"/>
      <c r="E718" s="43"/>
      <c r="AO718" s="19"/>
    </row>
    <row r="719">
      <c r="D719" s="42"/>
      <c r="E719" s="43"/>
      <c r="AO719" s="19"/>
    </row>
    <row r="720">
      <c r="D720" s="42"/>
      <c r="E720" s="43"/>
      <c r="AO720" s="19"/>
    </row>
    <row r="721">
      <c r="D721" s="42"/>
      <c r="E721" s="43"/>
      <c r="AO721" s="19"/>
    </row>
    <row r="722">
      <c r="D722" s="42"/>
      <c r="E722" s="43"/>
      <c r="AO722" s="19"/>
    </row>
    <row r="723">
      <c r="D723" s="42"/>
      <c r="E723" s="43"/>
      <c r="AO723" s="19"/>
    </row>
    <row r="724">
      <c r="D724" s="42"/>
      <c r="E724" s="43"/>
      <c r="AO724" s="19"/>
    </row>
    <row r="725">
      <c r="D725" s="42"/>
      <c r="E725" s="43"/>
      <c r="AO725" s="19"/>
    </row>
    <row r="726">
      <c r="D726" s="42"/>
      <c r="E726" s="43"/>
      <c r="AO726" s="19"/>
    </row>
    <row r="727">
      <c r="D727" s="42"/>
      <c r="E727" s="43"/>
      <c r="AO727" s="19"/>
    </row>
    <row r="728">
      <c r="D728" s="42"/>
      <c r="E728" s="43"/>
      <c r="AO728" s="19"/>
    </row>
    <row r="729">
      <c r="D729" s="42"/>
      <c r="E729" s="43"/>
      <c r="AO729" s="19"/>
    </row>
    <row r="730">
      <c r="D730" s="42"/>
      <c r="E730" s="43"/>
      <c r="AO730" s="19"/>
    </row>
    <row r="731">
      <c r="D731" s="42"/>
      <c r="E731" s="43"/>
      <c r="AO731" s="19"/>
    </row>
    <row r="732">
      <c r="D732" s="42"/>
      <c r="E732" s="43"/>
      <c r="AO732" s="19"/>
    </row>
    <row r="733">
      <c r="D733" s="42"/>
      <c r="E733" s="43"/>
      <c r="AO733" s="19"/>
    </row>
    <row r="734">
      <c r="D734" s="42"/>
      <c r="E734" s="43"/>
      <c r="AO734" s="19"/>
    </row>
    <row r="735">
      <c r="D735" s="42"/>
      <c r="E735" s="43"/>
      <c r="AO735" s="19"/>
    </row>
    <row r="736">
      <c r="D736" s="42"/>
      <c r="E736" s="43"/>
      <c r="AO736" s="19"/>
    </row>
    <row r="737">
      <c r="D737" s="42"/>
      <c r="E737" s="43"/>
      <c r="AO737" s="19"/>
    </row>
    <row r="738">
      <c r="D738" s="42"/>
      <c r="E738" s="43"/>
      <c r="AO738" s="19"/>
    </row>
    <row r="739">
      <c r="D739" s="42"/>
      <c r="E739" s="43"/>
      <c r="AO739" s="19"/>
    </row>
    <row r="740">
      <c r="D740" s="42"/>
      <c r="E740" s="43"/>
      <c r="AO740" s="19"/>
    </row>
    <row r="741">
      <c r="D741" s="42"/>
      <c r="E741" s="43"/>
      <c r="AO741" s="19"/>
    </row>
    <row r="742">
      <c r="D742" s="42"/>
      <c r="E742" s="43"/>
      <c r="AO742" s="19"/>
    </row>
    <row r="743">
      <c r="D743" s="42"/>
      <c r="E743" s="43"/>
      <c r="AO743" s="19"/>
    </row>
    <row r="744">
      <c r="D744" s="42"/>
      <c r="E744" s="43"/>
      <c r="AO744" s="19"/>
    </row>
    <row r="745">
      <c r="D745" s="42"/>
      <c r="E745" s="43"/>
      <c r="AO745" s="19"/>
    </row>
    <row r="746">
      <c r="D746" s="42"/>
      <c r="E746" s="43"/>
      <c r="AO746" s="19"/>
    </row>
    <row r="747">
      <c r="D747" s="42"/>
      <c r="E747" s="43"/>
      <c r="AO747" s="19"/>
    </row>
    <row r="748">
      <c r="D748" s="42"/>
      <c r="E748" s="43"/>
      <c r="AO748" s="19"/>
    </row>
    <row r="749">
      <c r="D749" s="42"/>
      <c r="E749" s="43"/>
      <c r="AO749" s="19"/>
    </row>
    <row r="750">
      <c r="D750" s="42"/>
      <c r="E750" s="43"/>
      <c r="AO750" s="19"/>
    </row>
    <row r="751">
      <c r="D751" s="42"/>
      <c r="E751" s="43"/>
      <c r="AO751" s="19"/>
    </row>
    <row r="752">
      <c r="D752" s="42"/>
      <c r="E752" s="43"/>
      <c r="AO752" s="19"/>
    </row>
    <row r="753">
      <c r="D753" s="42"/>
      <c r="E753" s="43"/>
      <c r="AO753" s="19"/>
    </row>
    <row r="754">
      <c r="D754" s="42"/>
      <c r="E754" s="43"/>
      <c r="AO754" s="19"/>
    </row>
    <row r="755">
      <c r="D755" s="42"/>
      <c r="E755" s="43"/>
      <c r="AO755" s="19"/>
    </row>
    <row r="756">
      <c r="D756" s="42"/>
      <c r="E756" s="43"/>
      <c r="AO756" s="19"/>
    </row>
    <row r="757">
      <c r="D757" s="42"/>
      <c r="E757" s="43"/>
      <c r="AO757" s="19"/>
    </row>
    <row r="758">
      <c r="D758" s="42"/>
      <c r="E758" s="43"/>
      <c r="AO758" s="19"/>
    </row>
    <row r="759">
      <c r="D759" s="42"/>
      <c r="E759" s="43"/>
      <c r="AO759" s="19"/>
    </row>
    <row r="760">
      <c r="D760" s="42"/>
      <c r="E760" s="43"/>
      <c r="AO760" s="19"/>
    </row>
    <row r="761">
      <c r="D761" s="42"/>
      <c r="E761" s="43"/>
      <c r="AO761" s="19"/>
    </row>
    <row r="762">
      <c r="D762" s="42"/>
      <c r="E762" s="43"/>
      <c r="AO762" s="19"/>
    </row>
    <row r="763">
      <c r="D763" s="42"/>
      <c r="E763" s="43"/>
      <c r="AO763" s="19"/>
    </row>
    <row r="764">
      <c r="D764" s="42"/>
      <c r="E764" s="43"/>
      <c r="AO764" s="19"/>
    </row>
    <row r="765">
      <c r="D765" s="42"/>
      <c r="E765" s="43"/>
      <c r="AO765" s="19"/>
    </row>
    <row r="766">
      <c r="D766" s="42"/>
      <c r="E766" s="43"/>
      <c r="AO766" s="19"/>
    </row>
    <row r="767">
      <c r="D767" s="42"/>
      <c r="E767" s="43"/>
      <c r="AO767" s="19"/>
    </row>
    <row r="768">
      <c r="D768" s="42"/>
      <c r="E768" s="43"/>
      <c r="AO768" s="19"/>
    </row>
    <row r="769">
      <c r="D769" s="42"/>
      <c r="E769" s="43"/>
      <c r="AO769" s="19"/>
    </row>
    <row r="770">
      <c r="D770" s="42"/>
      <c r="E770" s="43"/>
      <c r="AO770" s="19"/>
    </row>
    <row r="771">
      <c r="D771" s="42"/>
      <c r="E771" s="43"/>
      <c r="AO771" s="19"/>
    </row>
    <row r="772">
      <c r="D772" s="42"/>
      <c r="E772" s="43"/>
      <c r="AO772" s="19"/>
    </row>
    <row r="773">
      <c r="D773" s="42"/>
      <c r="E773" s="43"/>
      <c r="AO773" s="19"/>
    </row>
    <row r="774">
      <c r="D774" s="42"/>
      <c r="E774" s="43"/>
      <c r="AO774" s="19"/>
    </row>
    <row r="775">
      <c r="D775" s="42"/>
      <c r="E775" s="43"/>
      <c r="AO775" s="19"/>
    </row>
    <row r="776">
      <c r="D776" s="42"/>
      <c r="E776" s="43"/>
      <c r="AO776" s="19"/>
    </row>
    <row r="777">
      <c r="D777" s="42"/>
      <c r="E777" s="43"/>
      <c r="AO777" s="19"/>
    </row>
    <row r="778">
      <c r="D778" s="42"/>
      <c r="E778" s="43"/>
      <c r="AO778" s="19"/>
    </row>
    <row r="779">
      <c r="D779" s="42"/>
      <c r="E779" s="43"/>
      <c r="AO779" s="19"/>
    </row>
    <row r="780">
      <c r="D780" s="42"/>
      <c r="E780" s="43"/>
      <c r="AO780" s="19"/>
    </row>
    <row r="781">
      <c r="D781" s="42"/>
      <c r="E781" s="43"/>
      <c r="AO781" s="19"/>
    </row>
    <row r="782">
      <c r="D782" s="42"/>
      <c r="E782" s="43"/>
      <c r="AO782" s="19"/>
    </row>
    <row r="783">
      <c r="D783" s="42"/>
      <c r="E783" s="43"/>
      <c r="AO783" s="19"/>
    </row>
    <row r="784">
      <c r="D784" s="42"/>
      <c r="E784" s="43"/>
      <c r="AO784" s="19"/>
    </row>
    <row r="785">
      <c r="D785" s="42"/>
      <c r="E785" s="43"/>
      <c r="AO785" s="19"/>
    </row>
    <row r="786">
      <c r="D786" s="42"/>
      <c r="E786" s="43"/>
      <c r="AO786" s="19"/>
    </row>
    <row r="787">
      <c r="D787" s="42"/>
      <c r="E787" s="43"/>
      <c r="AO787" s="19"/>
    </row>
    <row r="788">
      <c r="D788" s="42"/>
      <c r="E788" s="43"/>
      <c r="AO788" s="19"/>
    </row>
    <row r="789">
      <c r="D789" s="42"/>
      <c r="E789" s="43"/>
      <c r="AO789" s="19"/>
    </row>
    <row r="790">
      <c r="D790" s="42"/>
      <c r="E790" s="43"/>
      <c r="AO790" s="19"/>
    </row>
    <row r="791">
      <c r="D791" s="42"/>
      <c r="E791" s="43"/>
      <c r="AO791" s="19"/>
    </row>
    <row r="792">
      <c r="D792" s="42"/>
      <c r="E792" s="43"/>
      <c r="AO792" s="19"/>
    </row>
    <row r="793">
      <c r="D793" s="42"/>
      <c r="E793" s="43"/>
      <c r="AO793" s="19"/>
    </row>
    <row r="794">
      <c r="D794" s="42"/>
      <c r="E794" s="43"/>
      <c r="AO794" s="19"/>
    </row>
    <row r="795">
      <c r="D795" s="42"/>
      <c r="E795" s="43"/>
      <c r="AO795" s="19"/>
    </row>
    <row r="796">
      <c r="D796" s="42"/>
      <c r="E796" s="43"/>
      <c r="AO796" s="19"/>
    </row>
    <row r="797">
      <c r="D797" s="42"/>
      <c r="E797" s="43"/>
      <c r="AO797" s="19"/>
    </row>
    <row r="798">
      <c r="D798" s="42"/>
      <c r="E798" s="43"/>
      <c r="AO798" s="19"/>
    </row>
    <row r="799">
      <c r="D799" s="42"/>
      <c r="E799" s="43"/>
      <c r="AO799" s="19"/>
    </row>
    <row r="800">
      <c r="D800" s="42"/>
      <c r="E800" s="43"/>
      <c r="AO800" s="19"/>
    </row>
    <row r="801">
      <c r="D801" s="42"/>
      <c r="E801" s="43"/>
      <c r="AO801" s="19"/>
    </row>
    <row r="802">
      <c r="D802" s="42"/>
      <c r="E802" s="43"/>
      <c r="AO802" s="19"/>
    </row>
    <row r="803">
      <c r="D803" s="42"/>
      <c r="E803" s="43"/>
      <c r="AO803" s="19"/>
    </row>
    <row r="804">
      <c r="D804" s="42"/>
      <c r="E804" s="43"/>
      <c r="AO804" s="19"/>
    </row>
    <row r="805">
      <c r="D805" s="42"/>
      <c r="E805" s="43"/>
      <c r="AO805" s="19"/>
    </row>
    <row r="806">
      <c r="D806" s="42"/>
      <c r="E806" s="43"/>
      <c r="AO806" s="19"/>
    </row>
    <row r="807">
      <c r="D807" s="42"/>
      <c r="E807" s="43"/>
      <c r="AO807" s="19"/>
    </row>
    <row r="808">
      <c r="D808" s="42"/>
      <c r="E808" s="43"/>
      <c r="AO808" s="19"/>
    </row>
    <row r="809">
      <c r="D809" s="42"/>
      <c r="E809" s="43"/>
      <c r="AO809" s="19"/>
    </row>
    <row r="810">
      <c r="D810" s="42"/>
      <c r="E810" s="43"/>
      <c r="AO810" s="19"/>
    </row>
    <row r="811">
      <c r="D811" s="42"/>
      <c r="E811" s="43"/>
      <c r="AO811" s="19"/>
    </row>
    <row r="812">
      <c r="D812" s="42"/>
      <c r="E812" s="43"/>
      <c r="AO812" s="19"/>
    </row>
    <row r="813">
      <c r="D813" s="42"/>
      <c r="E813" s="43"/>
      <c r="AO813" s="19"/>
    </row>
    <row r="814">
      <c r="D814" s="42"/>
      <c r="E814" s="43"/>
      <c r="AO814" s="19"/>
    </row>
    <row r="815">
      <c r="D815" s="42"/>
      <c r="E815" s="43"/>
      <c r="AO815" s="19"/>
    </row>
    <row r="816">
      <c r="D816" s="42"/>
      <c r="E816" s="43"/>
      <c r="AO816" s="19"/>
    </row>
    <row r="817">
      <c r="D817" s="42"/>
      <c r="E817" s="43"/>
      <c r="AO817" s="19"/>
    </row>
    <row r="818">
      <c r="D818" s="42"/>
      <c r="E818" s="43"/>
      <c r="AO818" s="19"/>
    </row>
    <row r="819">
      <c r="D819" s="42"/>
      <c r="E819" s="43"/>
      <c r="AO819" s="19"/>
    </row>
    <row r="820">
      <c r="D820" s="42"/>
      <c r="E820" s="43"/>
      <c r="AO820" s="19"/>
    </row>
    <row r="821">
      <c r="D821" s="42"/>
      <c r="E821" s="43"/>
      <c r="AO821" s="19"/>
    </row>
    <row r="822">
      <c r="D822" s="42"/>
      <c r="E822" s="43"/>
      <c r="AO822" s="19"/>
    </row>
    <row r="823">
      <c r="D823" s="42"/>
      <c r="E823" s="43"/>
      <c r="AO823" s="19"/>
    </row>
    <row r="824">
      <c r="D824" s="42"/>
      <c r="E824" s="43"/>
      <c r="AO824" s="19"/>
    </row>
    <row r="825">
      <c r="D825" s="42"/>
      <c r="E825" s="43"/>
      <c r="AO825" s="19"/>
    </row>
    <row r="826">
      <c r="D826" s="42"/>
      <c r="E826" s="43"/>
      <c r="AO826" s="19"/>
    </row>
    <row r="827">
      <c r="D827" s="42"/>
      <c r="E827" s="43"/>
      <c r="AO827" s="19"/>
    </row>
    <row r="828">
      <c r="D828" s="42"/>
      <c r="E828" s="43"/>
      <c r="AO828" s="19"/>
    </row>
    <row r="829">
      <c r="D829" s="42"/>
      <c r="E829" s="43"/>
      <c r="AO829" s="19"/>
    </row>
    <row r="830">
      <c r="D830" s="42"/>
      <c r="E830" s="43"/>
      <c r="AO830" s="19"/>
    </row>
    <row r="831">
      <c r="D831" s="42"/>
      <c r="E831" s="43"/>
      <c r="AO831" s="19"/>
    </row>
    <row r="832">
      <c r="D832" s="42"/>
      <c r="E832" s="43"/>
      <c r="AO832" s="19"/>
    </row>
    <row r="833">
      <c r="D833" s="42"/>
      <c r="E833" s="43"/>
      <c r="AO833" s="19"/>
    </row>
    <row r="834">
      <c r="D834" s="42"/>
      <c r="E834" s="43"/>
      <c r="AO834" s="19"/>
    </row>
    <row r="835">
      <c r="D835" s="42"/>
      <c r="E835" s="43"/>
      <c r="AO835" s="19"/>
    </row>
    <row r="836">
      <c r="D836" s="42"/>
      <c r="E836" s="43"/>
      <c r="AO836" s="19"/>
    </row>
    <row r="837">
      <c r="D837" s="42"/>
      <c r="E837" s="43"/>
      <c r="AO837" s="19"/>
    </row>
    <row r="838">
      <c r="D838" s="42"/>
      <c r="E838" s="43"/>
      <c r="AO838" s="19"/>
    </row>
    <row r="839">
      <c r="D839" s="42"/>
      <c r="E839" s="43"/>
      <c r="AO839" s="19"/>
    </row>
    <row r="840">
      <c r="D840" s="42"/>
      <c r="E840" s="43"/>
      <c r="AO840" s="19"/>
    </row>
    <row r="841">
      <c r="D841" s="42"/>
      <c r="E841" s="43"/>
      <c r="AO841" s="19"/>
    </row>
    <row r="842">
      <c r="D842" s="42"/>
      <c r="E842" s="43"/>
      <c r="AO842" s="19"/>
    </row>
    <row r="843">
      <c r="D843" s="42"/>
      <c r="E843" s="43"/>
      <c r="AO843" s="19"/>
    </row>
    <row r="844">
      <c r="D844" s="42"/>
      <c r="E844" s="43"/>
      <c r="AO844" s="19"/>
    </row>
    <row r="845">
      <c r="D845" s="42"/>
      <c r="E845" s="43"/>
      <c r="AO845" s="19"/>
    </row>
    <row r="846">
      <c r="D846" s="42"/>
      <c r="E846" s="43"/>
      <c r="AO846" s="19"/>
    </row>
    <row r="847">
      <c r="D847" s="42"/>
      <c r="E847" s="43"/>
      <c r="AO847" s="19"/>
    </row>
    <row r="848">
      <c r="D848" s="42"/>
      <c r="E848" s="43"/>
      <c r="AO848" s="19"/>
    </row>
    <row r="849">
      <c r="D849" s="42"/>
      <c r="E849" s="43"/>
      <c r="AO849" s="19"/>
    </row>
    <row r="850">
      <c r="D850" s="42"/>
      <c r="E850" s="43"/>
      <c r="AO850" s="19"/>
    </row>
    <row r="851">
      <c r="D851" s="42"/>
      <c r="E851" s="43"/>
      <c r="AO851" s="19"/>
    </row>
    <row r="852">
      <c r="D852" s="42"/>
      <c r="E852" s="43"/>
      <c r="AO852" s="19"/>
    </row>
    <row r="853">
      <c r="D853" s="42"/>
      <c r="E853" s="43"/>
      <c r="AO853" s="19"/>
    </row>
    <row r="854">
      <c r="D854" s="42"/>
      <c r="E854" s="43"/>
      <c r="AO854" s="19"/>
    </row>
    <row r="855">
      <c r="D855" s="42"/>
      <c r="E855" s="43"/>
      <c r="AO855" s="19"/>
    </row>
    <row r="856">
      <c r="D856" s="42"/>
      <c r="E856" s="43"/>
      <c r="AO856" s="19"/>
    </row>
    <row r="857">
      <c r="D857" s="42"/>
      <c r="E857" s="43"/>
      <c r="AO857" s="19"/>
    </row>
    <row r="858">
      <c r="D858" s="42"/>
      <c r="E858" s="43"/>
      <c r="AO858" s="19"/>
    </row>
    <row r="859">
      <c r="D859" s="42"/>
      <c r="E859" s="43"/>
      <c r="AO859" s="19"/>
    </row>
    <row r="860">
      <c r="D860" s="42"/>
      <c r="E860" s="43"/>
      <c r="AO860" s="19"/>
    </row>
    <row r="861">
      <c r="D861" s="42"/>
      <c r="E861" s="43"/>
      <c r="AO861" s="19"/>
    </row>
    <row r="862">
      <c r="D862" s="42"/>
      <c r="E862" s="43"/>
      <c r="AO862" s="19"/>
    </row>
    <row r="863">
      <c r="D863" s="42"/>
      <c r="E863" s="43"/>
      <c r="AO863" s="19"/>
    </row>
    <row r="864">
      <c r="D864" s="42"/>
      <c r="E864" s="43"/>
      <c r="AO864" s="19"/>
    </row>
    <row r="865">
      <c r="D865" s="42"/>
      <c r="E865" s="43"/>
      <c r="AO865" s="19"/>
    </row>
    <row r="866">
      <c r="D866" s="42"/>
      <c r="E866" s="43"/>
      <c r="AO866" s="19"/>
    </row>
    <row r="867">
      <c r="D867" s="42"/>
      <c r="E867" s="43"/>
      <c r="AO867" s="19"/>
    </row>
    <row r="868">
      <c r="D868" s="42"/>
      <c r="E868" s="43"/>
      <c r="AO868" s="19"/>
    </row>
    <row r="869">
      <c r="D869" s="42"/>
      <c r="E869" s="43"/>
      <c r="AO869" s="19"/>
    </row>
    <row r="870">
      <c r="D870" s="42"/>
      <c r="E870" s="43"/>
      <c r="AO870" s="19"/>
    </row>
    <row r="871">
      <c r="D871" s="42"/>
      <c r="E871" s="43"/>
      <c r="AO871" s="19"/>
    </row>
    <row r="872">
      <c r="D872" s="42"/>
      <c r="E872" s="43"/>
      <c r="AO872" s="19"/>
    </row>
    <row r="873">
      <c r="D873" s="42"/>
      <c r="E873" s="43"/>
      <c r="AO873" s="19"/>
    </row>
    <row r="874">
      <c r="D874" s="42"/>
      <c r="E874" s="43"/>
      <c r="AO874" s="19"/>
    </row>
    <row r="875">
      <c r="D875" s="42"/>
      <c r="E875" s="43"/>
      <c r="AO875" s="19"/>
    </row>
    <row r="876">
      <c r="D876" s="42"/>
      <c r="E876" s="43"/>
      <c r="AO876" s="19"/>
    </row>
    <row r="877">
      <c r="D877" s="42"/>
      <c r="E877" s="43"/>
      <c r="AO877" s="19"/>
    </row>
    <row r="878">
      <c r="D878" s="42"/>
      <c r="E878" s="43"/>
      <c r="AO878" s="19"/>
    </row>
    <row r="879">
      <c r="D879" s="42"/>
      <c r="E879" s="43"/>
      <c r="AO879" s="19"/>
    </row>
    <row r="880">
      <c r="D880" s="42"/>
      <c r="E880" s="43"/>
      <c r="AO880" s="19"/>
    </row>
    <row r="881">
      <c r="D881" s="42"/>
      <c r="E881" s="43"/>
      <c r="AO881" s="19"/>
    </row>
    <row r="882">
      <c r="D882" s="42"/>
      <c r="E882" s="43"/>
      <c r="AO882" s="19"/>
    </row>
    <row r="883">
      <c r="D883" s="42"/>
      <c r="E883" s="43"/>
      <c r="AO883" s="19"/>
    </row>
    <row r="884">
      <c r="D884" s="42"/>
      <c r="E884" s="43"/>
      <c r="AO884" s="19"/>
    </row>
    <row r="885">
      <c r="D885" s="42"/>
      <c r="E885" s="43"/>
      <c r="AO885" s="19"/>
    </row>
    <row r="886">
      <c r="D886" s="42"/>
      <c r="E886" s="43"/>
      <c r="AO886" s="19"/>
    </row>
    <row r="887">
      <c r="D887" s="42"/>
      <c r="E887" s="43"/>
      <c r="AO887" s="19"/>
    </row>
    <row r="888">
      <c r="D888" s="42"/>
      <c r="E888" s="43"/>
      <c r="AO888" s="19"/>
    </row>
    <row r="889">
      <c r="D889" s="42"/>
      <c r="E889" s="43"/>
      <c r="AO889" s="19"/>
    </row>
    <row r="890">
      <c r="D890" s="42"/>
      <c r="E890" s="43"/>
      <c r="AO890" s="19"/>
    </row>
    <row r="891">
      <c r="D891" s="42"/>
      <c r="E891" s="43"/>
      <c r="AO891" s="19"/>
    </row>
    <row r="892">
      <c r="D892" s="42"/>
      <c r="E892" s="43"/>
      <c r="AO892" s="19"/>
    </row>
    <row r="893">
      <c r="D893" s="42"/>
      <c r="E893" s="43"/>
      <c r="AO893" s="19"/>
    </row>
    <row r="894">
      <c r="D894" s="42"/>
      <c r="E894" s="43"/>
      <c r="AO894" s="19"/>
    </row>
    <row r="895">
      <c r="D895" s="42"/>
      <c r="E895" s="43"/>
      <c r="AO895" s="19"/>
    </row>
    <row r="896">
      <c r="D896" s="42"/>
      <c r="E896" s="43"/>
      <c r="AO896" s="19"/>
    </row>
    <row r="897">
      <c r="D897" s="42"/>
      <c r="E897" s="43"/>
      <c r="AO897" s="19"/>
    </row>
    <row r="898">
      <c r="D898" s="42"/>
      <c r="E898" s="43"/>
      <c r="AO898" s="19"/>
    </row>
    <row r="899">
      <c r="D899" s="42"/>
      <c r="E899" s="43"/>
      <c r="AO899" s="19"/>
    </row>
    <row r="900">
      <c r="D900" s="42"/>
      <c r="E900" s="43"/>
      <c r="AO900" s="19"/>
    </row>
    <row r="901">
      <c r="D901" s="42"/>
      <c r="E901" s="43"/>
      <c r="AO901" s="19"/>
    </row>
    <row r="902">
      <c r="D902" s="42"/>
      <c r="E902" s="43"/>
      <c r="AO902" s="19"/>
    </row>
    <row r="903">
      <c r="D903" s="42"/>
      <c r="E903" s="43"/>
      <c r="AO903" s="19"/>
    </row>
    <row r="904">
      <c r="D904" s="42"/>
      <c r="E904" s="43"/>
      <c r="AO904" s="19"/>
    </row>
    <row r="905">
      <c r="D905" s="42"/>
      <c r="E905" s="43"/>
      <c r="AO905" s="19"/>
    </row>
    <row r="906">
      <c r="D906" s="42"/>
      <c r="E906" s="43"/>
      <c r="AO906" s="19"/>
    </row>
    <row r="907">
      <c r="D907" s="42"/>
      <c r="E907" s="43"/>
      <c r="AO907" s="19"/>
    </row>
    <row r="908">
      <c r="D908" s="42"/>
      <c r="E908" s="43"/>
      <c r="AO908" s="19"/>
    </row>
    <row r="909">
      <c r="D909" s="42"/>
      <c r="E909" s="43"/>
      <c r="AO909" s="19"/>
    </row>
    <row r="910">
      <c r="D910" s="42"/>
      <c r="E910" s="43"/>
      <c r="AO910" s="19"/>
    </row>
    <row r="911">
      <c r="D911" s="42"/>
      <c r="E911" s="43"/>
      <c r="AO911" s="19"/>
    </row>
    <row r="912">
      <c r="D912" s="42"/>
      <c r="E912" s="43"/>
      <c r="AO912" s="19"/>
    </row>
    <row r="913">
      <c r="D913" s="42"/>
      <c r="E913" s="43"/>
      <c r="AO913" s="19"/>
    </row>
    <row r="914">
      <c r="D914" s="42"/>
      <c r="E914" s="43"/>
      <c r="AO914" s="19"/>
    </row>
    <row r="915">
      <c r="D915" s="42"/>
      <c r="E915" s="43"/>
      <c r="AO915" s="19"/>
    </row>
    <row r="916">
      <c r="D916" s="42"/>
      <c r="E916" s="43"/>
      <c r="AO916" s="19"/>
    </row>
    <row r="917">
      <c r="D917" s="42"/>
      <c r="E917" s="43"/>
      <c r="AO917" s="19"/>
    </row>
    <row r="918">
      <c r="D918" s="42"/>
      <c r="E918" s="43"/>
      <c r="AO918" s="19"/>
    </row>
    <row r="919">
      <c r="D919" s="42"/>
      <c r="E919" s="43"/>
      <c r="AO919" s="19"/>
    </row>
    <row r="920">
      <c r="D920" s="42"/>
      <c r="E920" s="43"/>
      <c r="AO920" s="19"/>
    </row>
    <row r="921">
      <c r="D921" s="42"/>
      <c r="E921" s="43"/>
      <c r="AO921" s="19"/>
    </row>
    <row r="922">
      <c r="D922" s="42"/>
      <c r="E922" s="43"/>
      <c r="AO922" s="19"/>
    </row>
    <row r="923">
      <c r="D923" s="42"/>
      <c r="E923" s="43"/>
      <c r="AO923" s="19"/>
    </row>
    <row r="924">
      <c r="D924" s="42"/>
      <c r="E924" s="43"/>
      <c r="AO924" s="19"/>
    </row>
    <row r="925">
      <c r="D925" s="42"/>
      <c r="E925" s="43"/>
      <c r="AO925" s="19"/>
    </row>
    <row r="926">
      <c r="D926" s="42"/>
      <c r="E926" s="43"/>
      <c r="AO926" s="19"/>
    </row>
    <row r="927">
      <c r="D927" s="42"/>
      <c r="E927" s="43"/>
      <c r="AO927" s="19"/>
    </row>
    <row r="928">
      <c r="D928" s="42"/>
      <c r="E928" s="43"/>
      <c r="AO928" s="19"/>
    </row>
    <row r="929">
      <c r="D929" s="42"/>
      <c r="E929" s="43"/>
      <c r="AO929" s="19"/>
    </row>
    <row r="930">
      <c r="D930" s="42"/>
      <c r="E930" s="43"/>
      <c r="AO930" s="19"/>
    </row>
    <row r="931">
      <c r="D931" s="42"/>
      <c r="E931" s="43"/>
      <c r="AO931" s="19"/>
    </row>
    <row r="932">
      <c r="D932" s="42"/>
      <c r="E932" s="43"/>
      <c r="AO932" s="19"/>
    </row>
    <row r="933">
      <c r="D933" s="42"/>
      <c r="E933" s="43"/>
      <c r="AO933" s="19"/>
    </row>
    <row r="934">
      <c r="D934" s="42"/>
      <c r="E934" s="43"/>
      <c r="AO934" s="19"/>
    </row>
    <row r="935">
      <c r="D935" s="42"/>
      <c r="E935" s="43"/>
      <c r="AO935" s="19"/>
    </row>
    <row r="936">
      <c r="D936" s="42"/>
      <c r="E936" s="43"/>
      <c r="AO936" s="19"/>
    </row>
    <row r="937">
      <c r="D937" s="42"/>
      <c r="E937" s="43"/>
      <c r="AO937" s="19"/>
    </row>
    <row r="938">
      <c r="D938" s="42"/>
      <c r="E938" s="43"/>
      <c r="AO938" s="19"/>
    </row>
    <row r="939">
      <c r="D939" s="42"/>
      <c r="E939" s="43"/>
      <c r="AO939" s="19"/>
    </row>
    <row r="940">
      <c r="D940" s="42"/>
      <c r="E940" s="43"/>
      <c r="AO940" s="19"/>
    </row>
    <row r="941">
      <c r="D941" s="42"/>
      <c r="E941" s="43"/>
      <c r="AO941" s="19"/>
    </row>
    <row r="942">
      <c r="D942" s="42"/>
      <c r="E942" s="43"/>
      <c r="AO942" s="19"/>
    </row>
    <row r="943">
      <c r="D943" s="42"/>
      <c r="E943" s="43"/>
      <c r="AO943" s="19"/>
    </row>
    <row r="944">
      <c r="D944" s="42"/>
      <c r="E944" s="43"/>
      <c r="AO944" s="19"/>
    </row>
    <row r="945">
      <c r="D945" s="42"/>
      <c r="E945" s="43"/>
      <c r="AO945" s="19"/>
    </row>
    <row r="946">
      <c r="D946" s="42"/>
      <c r="E946" s="43"/>
      <c r="AO946" s="19"/>
    </row>
    <row r="947">
      <c r="D947" s="42"/>
      <c r="E947" s="43"/>
      <c r="AO947" s="19"/>
    </row>
    <row r="948">
      <c r="D948" s="42"/>
      <c r="E948" s="43"/>
      <c r="AO948" s="19"/>
    </row>
    <row r="949">
      <c r="D949" s="42"/>
      <c r="E949" s="43"/>
      <c r="AO949" s="19"/>
    </row>
    <row r="950">
      <c r="D950" s="42"/>
      <c r="E950" s="43"/>
      <c r="AO950" s="19"/>
    </row>
    <row r="951">
      <c r="D951" s="42"/>
      <c r="E951" s="43"/>
      <c r="AO951" s="19"/>
    </row>
    <row r="952">
      <c r="D952" s="42"/>
      <c r="E952" s="43"/>
      <c r="AO952" s="19"/>
    </row>
    <row r="953">
      <c r="D953" s="42"/>
      <c r="E953" s="43"/>
      <c r="AO953" s="19"/>
    </row>
    <row r="954">
      <c r="D954" s="42"/>
      <c r="E954" s="43"/>
      <c r="AO954" s="19"/>
    </row>
    <row r="955">
      <c r="D955" s="42"/>
      <c r="E955" s="43"/>
      <c r="AO955" s="19"/>
    </row>
    <row r="956">
      <c r="D956" s="42"/>
      <c r="E956" s="43"/>
      <c r="AO956" s="19"/>
    </row>
    <row r="957">
      <c r="D957" s="42"/>
      <c r="E957" s="43"/>
      <c r="AO957" s="19"/>
    </row>
    <row r="958">
      <c r="D958" s="42"/>
      <c r="E958" s="43"/>
      <c r="AO958" s="19"/>
    </row>
    <row r="959">
      <c r="D959" s="42"/>
      <c r="E959" s="43"/>
      <c r="AO959" s="19"/>
    </row>
    <row r="960">
      <c r="D960" s="42"/>
      <c r="E960" s="43"/>
      <c r="AO960" s="19"/>
    </row>
    <row r="961">
      <c r="D961" s="42"/>
      <c r="E961" s="43"/>
      <c r="AO961" s="19"/>
    </row>
    <row r="962">
      <c r="D962" s="42"/>
      <c r="E962" s="43"/>
      <c r="AO962" s="19"/>
    </row>
    <row r="963">
      <c r="D963" s="42"/>
      <c r="E963" s="43"/>
      <c r="AO963" s="19"/>
    </row>
    <row r="964">
      <c r="D964" s="42"/>
      <c r="E964" s="43"/>
      <c r="AO964" s="19"/>
    </row>
    <row r="965">
      <c r="D965" s="42"/>
      <c r="E965" s="43"/>
      <c r="AO965" s="19"/>
    </row>
    <row r="966">
      <c r="D966" s="42"/>
      <c r="E966" s="43"/>
      <c r="AO966" s="19"/>
    </row>
    <row r="967">
      <c r="D967" s="42"/>
      <c r="E967" s="43"/>
      <c r="AO967" s="19"/>
    </row>
    <row r="968">
      <c r="D968" s="42"/>
      <c r="E968" s="43"/>
      <c r="AO968" s="19"/>
    </row>
    <row r="969">
      <c r="D969" s="42"/>
      <c r="E969" s="43"/>
      <c r="AO969" s="19"/>
    </row>
    <row r="970">
      <c r="D970" s="42"/>
      <c r="E970" s="43"/>
      <c r="AO970" s="19"/>
    </row>
    <row r="971">
      <c r="D971" s="42"/>
      <c r="E971" s="43"/>
      <c r="AO971" s="19"/>
    </row>
    <row r="972">
      <c r="D972" s="42"/>
      <c r="E972" s="43"/>
      <c r="AO972" s="19"/>
    </row>
    <row r="973">
      <c r="D973" s="42"/>
      <c r="E973" s="43"/>
      <c r="AO973" s="19"/>
    </row>
    <row r="974">
      <c r="D974" s="42"/>
      <c r="E974" s="43"/>
      <c r="AO974" s="19"/>
    </row>
    <row r="975">
      <c r="D975" s="42"/>
      <c r="E975" s="43"/>
      <c r="AO975" s="19"/>
    </row>
    <row r="976">
      <c r="D976" s="42"/>
      <c r="E976" s="43"/>
      <c r="AO976" s="19"/>
    </row>
    <row r="977">
      <c r="D977" s="42"/>
      <c r="E977" s="43"/>
      <c r="AO977" s="19"/>
    </row>
    <row r="978">
      <c r="D978" s="42"/>
      <c r="E978" s="43"/>
      <c r="AO978" s="19"/>
    </row>
    <row r="979">
      <c r="D979" s="42"/>
      <c r="E979" s="43"/>
      <c r="AO979" s="19"/>
    </row>
    <row r="980">
      <c r="D980" s="42"/>
      <c r="E980" s="43"/>
      <c r="AO980" s="19"/>
    </row>
    <row r="981">
      <c r="D981" s="42"/>
      <c r="E981" s="43"/>
      <c r="AO981" s="19"/>
    </row>
    <row r="982">
      <c r="D982" s="42"/>
      <c r="E982" s="43"/>
      <c r="AO982" s="19"/>
    </row>
    <row r="983">
      <c r="D983" s="42"/>
      <c r="E983" s="43"/>
      <c r="AO983" s="19"/>
    </row>
    <row r="984">
      <c r="D984" s="42"/>
      <c r="E984" s="43"/>
      <c r="AO984" s="19"/>
    </row>
    <row r="985">
      <c r="D985" s="42"/>
      <c r="E985" s="43"/>
      <c r="AO985" s="19"/>
    </row>
    <row r="986">
      <c r="D986" s="42"/>
      <c r="E986" s="43"/>
      <c r="AO986" s="19"/>
    </row>
    <row r="987">
      <c r="D987" s="42"/>
      <c r="E987" s="43"/>
      <c r="AO987" s="19"/>
    </row>
    <row r="988">
      <c r="D988" s="42"/>
      <c r="E988" s="43"/>
      <c r="AO988" s="19"/>
    </row>
    <row r="989">
      <c r="D989" s="42"/>
      <c r="E989" s="43"/>
      <c r="AO989" s="19"/>
    </row>
    <row r="990">
      <c r="D990" s="42"/>
      <c r="E990" s="43"/>
      <c r="AO990" s="19"/>
    </row>
    <row r="991">
      <c r="D991" s="42"/>
      <c r="E991" s="43"/>
      <c r="AO991" s="19"/>
    </row>
    <row r="992">
      <c r="D992" s="42"/>
      <c r="E992" s="43"/>
      <c r="AO992" s="19"/>
    </row>
    <row r="993">
      <c r="D993" s="42"/>
      <c r="E993" s="43"/>
      <c r="AO993" s="19"/>
    </row>
    <row r="994">
      <c r="D994" s="42"/>
      <c r="E994" s="43"/>
      <c r="AO994" s="19"/>
    </row>
    <row r="995">
      <c r="D995" s="42"/>
      <c r="E995" s="43"/>
      <c r="AO995" s="19"/>
    </row>
    <row r="996">
      <c r="D996" s="42"/>
      <c r="E996" s="43"/>
      <c r="AO996" s="19"/>
    </row>
    <row r="997">
      <c r="D997" s="42"/>
      <c r="E997" s="43"/>
      <c r="AO997" s="19"/>
    </row>
    <row r="998">
      <c r="D998" s="42"/>
      <c r="E998" s="43"/>
      <c r="AO998" s="19"/>
    </row>
    <row r="999">
      <c r="D999" s="42"/>
      <c r="E999" s="43"/>
      <c r="AO999" s="19"/>
    </row>
    <row r="1000">
      <c r="D1000" s="42"/>
      <c r="E1000" s="43"/>
      <c r="AO1000" s="19"/>
    </row>
    <row r="1001">
      <c r="D1001" s="42"/>
      <c r="E1001" s="43"/>
      <c r="AO1001" s="19"/>
    </row>
    <row r="1002">
      <c r="D1002" s="42"/>
      <c r="E1002" s="43"/>
      <c r="AO1002" s="19"/>
    </row>
    <row r="1003">
      <c r="D1003" s="42"/>
      <c r="E1003" s="43"/>
      <c r="AO1003" s="19"/>
    </row>
    <row r="1004">
      <c r="D1004" s="42"/>
      <c r="E1004" s="43"/>
      <c r="AO1004" s="19"/>
    </row>
    <row r="1005">
      <c r="D1005" s="42"/>
      <c r="E1005" s="43"/>
      <c r="AO1005" s="19"/>
    </row>
    <row r="1006">
      <c r="D1006" s="42"/>
      <c r="E1006" s="43"/>
      <c r="AO1006" s="19"/>
    </row>
    <row r="1007">
      <c r="D1007" s="42"/>
      <c r="E1007" s="43"/>
      <c r="AO1007" s="19"/>
    </row>
    <row r="1008">
      <c r="D1008" s="42"/>
      <c r="E1008" s="43"/>
      <c r="AO1008" s="19"/>
    </row>
    <row r="1009">
      <c r="D1009" s="42"/>
      <c r="E1009" s="43"/>
      <c r="AO1009" s="19"/>
    </row>
    <row r="1010">
      <c r="D1010" s="42"/>
      <c r="E1010" s="43"/>
      <c r="AO1010" s="19"/>
    </row>
    <row r="1011">
      <c r="D1011" s="42"/>
      <c r="E1011" s="43"/>
      <c r="AO1011" s="19"/>
    </row>
    <row r="1012">
      <c r="D1012" s="42"/>
      <c r="E1012" s="43"/>
      <c r="AO1012" s="19"/>
    </row>
    <row r="1013">
      <c r="D1013" s="42"/>
      <c r="E1013" s="43"/>
      <c r="AO1013" s="19"/>
    </row>
    <row r="1014">
      <c r="D1014" s="42"/>
      <c r="E1014" s="43"/>
      <c r="AO1014" s="19"/>
    </row>
    <row r="1015">
      <c r="D1015" s="42"/>
      <c r="E1015" s="43"/>
      <c r="AO1015" s="19"/>
    </row>
    <row r="1016">
      <c r="D1016" s="42"/>
      <c r="E1016" s="43"/>
      <c r="AO1016" s="19"/>
    </row>
    <row r="1017">
      <c r="D1017" s="42"/>
      <c r="E1017" s="43"/>
      <c r="AO1017" s="19"/>
    </row>
    <row r="1018">
      <c r="D1018" s="42"/>
      <c r="E1018" s="43"/>
      <c r="AO1018" s="19"/>
    </row>
    <row r="1019">
      <c r="D1019" s="42"/>
      <c r="E1019" s="43"/>
      <c r="AO1019" s="19"/>
    </row>
    <row r="1020">
      <c r="D1020" s="42"/>
      <c r="E1020" s="43"/>
      <c r="AO1020" s="19"/>
    </row>
    <row r="1021">
      <c r="D1021" s="42"/>
      <c r="E1021" s="43"/>
      <c r="AO1021" s="19"/>
    </row>
    <row r="1022">
      <c r="D1022" s="42"/>
      <c r="E1022" s="43"/>
      <c r="AO1022" s="19"/>
    </row>
    <row r="1023">
      <c r="D1023" s="42"/>
      <c r="E1023" s="43"/>
      <c r="AO1023" s="19"/>
    </row>
    <row r="1024">
      <c r="D1024" s="42"/>
      <c r="E1024" s="43"/>
      <c r="AO1024" s="19"/>
    </row>
    <row r="1025">
      <c r="D1025" s="42"/>
      <c r="E1025" s="43"/>
      <c r="AO1025" s="19"/>
    </row>
    <row r="1026">
      <c r="D1026" s="42"/>
      <c r="E1026" s="43"/>
      <c r="AO1026" s="19"/>
    </row>
    <row r="1027">
      <c r="D1027" s="42"/>
      <c r="E1027" s="43"/>
      <c r="AO1027" s="19"/>
    </row>
    <row r="1028">
      <c r="D1028" s="42"/>
      <c r="E1028" s="43"/>
      <c r="AO1028" s="19"/>
    </row>
    <row r="1029">
      <c r="D1029" s="42"/>
      <c r="E1029" s="43"/>
      <c r="AO1029" s="19"/>
    </row>
    <row r="1030">
      <c r="D1030" s="42"/>
      <c r="E1030" s="43"/>
      <c r="AO1030" s="19"/>
    </row>
    <row r="1031">
      <c r="D1031" s="42"/>
      <c r="E1031" s="43"/>
      <c r="AO1031" s="19"/>
    </row>
    <row r="1032">
      <c r="D1032" s="42"/>
      <c r="E1032" s="43"/>
      <c r="AO1032" s="19"/>
    </row>
    <row r="1033">
      <c r="D1033" s="42"/>
      <c r="E1033" s="43"/>
      <c r="AO1033" s="19"/>
    </row>
    <row r="1034">
      <c r="D1034" s="42"/>
      <c r="E1034" s="43"/>
      <c r="AO1034" s="19"/>
    </row>
    <row r="1035">
      <c r="D1035" s="42"/>
      <c r="E1035" s="43"/>
      <c r="AO1035" s="19"/>
    </row>
    <row r="1036">
      <c r="D1036" s="42"/>
      <c r="E1036" s="43"/>
      <c r="AO1036" s="19"/>
    </row>
    <row r="1037">
      <c r="D1037" s="42"/>
      <c r="E1037" s="43"/>
      <c r="AO1037" s="19"/>
    </row>
    <row r="1038">
      <c r="D1038" s="42"/>
      <c r="E1038" s="43"/>
      <c r="AO1038" s="19"/>
    </row>
    <row r="1039">
      <c r="D1039" s="42"/>
      <c r="E1039" s="43"/>
      <c r="AO1039" s="19"/>
    </row>
    <row r="1040">
      <c r="D1040" s="42"/>
      <c r="E1040" s="43"/>
      <c r="AO1040" s="19"/>
    </row>
    <row r="1041">
      <c r="D1041" s="42"/>
      <c r="E1041" s="43"/>
      <c r="AO1041" s="19"/>
    </row>
    <row r="1042">
      <c r="D1042" s="42"/>
      <c r="E1042" s="43"/>
      <c r="AO1042" s="19"/>
    </row>
    <row r="1043">
      <c r="D1043" s="42"/>
      <c r="E1043" s="43"/>
      <c r="AO1043" s="19"/>
    </row>
    <row r="1044">
      <c r="D1044" s="42"/>
      <c r="E1044" s="43"/>
      <c r="AO1044" s="19"/>
    </row>
    <row r="1045">
      <c r="D1045" s="42"/>
      <c r="E1045" s="43"/>
      <c r="AO1045" s="19"/>
    </row>
    <row r="1046">
      <c r="D1046" s="42"/>
      <c r="E1046" s="43"/>
      <c r="AO1046" s="19"/>
    </row>
    <row r="1047">
      <c r="D1047" s="42"/>
      <c r="E1047" s="43"/>
      <c r="AO1047" s="19"/>
    </row>
    <row r="1048">
      <c r="D1048" s="42"/>
      <c r="E1048" s="43"/>
      <c r="AO1048" s="19"/>
    </row>
    <row r="1049">
      <c r="D1049" s="42"/>
      <c r="E1049" s="43"/>
      <c r="AO1049" s="19"/>
    </row>
    <row r="1050">
      <c r="D1050" s="42"/>
      <c r="E1050" s="43"/>
      <c r="AO1050" s="19"/>
    </row>
    <row r="1051">
      <c r="D1051" s="42"/>
      <c r="E1051" s="43"/>
      <c r="AO1051" s="19"/>
    </row>
    <row r="1052">
      <c r="D1052" s="42"/>
      <c r="E1052" s="43"/>
      <c r="AO1052" s="19"/>
    </row>
    <row r="1053">
      <c r="D1053" s="42"/>
      <c r="E1053" s="43"/>
      <c r="AO1053" s="19"/>
    </row>
    <row r="1054">
      <c r="D1054" s="42"/>
      <c r="E1054" s="43"/>
      <c r="AO1054" s="19"/>
    </row>
    <row r="1055">
      <c r="D1055" s="42"/>
      <c r="E1055" s="43"/>
      <c r="AO1055" s="19"/>
    </row>
    <row r="1056">
      <c r="D1056" s="42"/>
      <c r="E1056" s="43"/>
      <c r="AO1056" s="19"/>
    </row>
    <row r="1057">
      <c r="D1057" s="42"/>
      <c r="E1057" s="43"/>
      <c r="AO1057" s="19"/>
    </row>
    <row r="1058">
      <c r="D1058" s="42"/>
      <c r="E1058" s="43"/>
      <c r="AO1058" s="19"/>
    </row>
    <row r="1059">
      <c r="D1059" s="42"/>
      <c r="E1059" s="43"/>
      <c r="AO1059" s="19"/>
    </row>
    <row r="1060">
      <c r="D1060" s="42"/>
      <c r="E1060" s="43"/>
      <c r="AO1060" s="19"/>
    </row>
    <row r="1061">
      <c r="D1061" s="42"/>
      <c r="E1061" s="43"/>
      <c r="AO1061" s="19"/>
    </row>
    <row r="1062">
      <c r="D1062" s="42"/>
      <c r="E1062" s="43"/>
      <c r="AO1062" s="19"/>
    </row>
    <row r="1063">
      <c r="D1063" s="42"/>
      <c r="E1063" s="43"/>
      <c r="AO1063" s="19"/>
    </row>
    <row r="1064">
      <c r="D1064" s="42"/>
      <c r="E1064" s="43"/>
      <c r="AO1064" s="19"/>
    </row>
    <row r="1065">
      <c r="D1065" s="42"/>
      <c r="E1065" s="43"/>
      <c r="AO1065" s="19"/>
    </row>
    <row r="1066">
      <c r="D1066" s="42"/>
      <c r="E1066" s="43"/>
      <c r="AO1066" s="19"/>
    </row>
    <row r="1067">
      <c r="D1067" s="42"/>
      <c r="E1067" s="43"/>
      <c r="AO1067" s="19"/>
    </row>
  </sheetData>
  <printOptions gridLines="1" horizontalCentered="1"/>
  <pageMargins bottom="0.75" footer="0.0" header="0.0" left="0.7" right="0.7" top="0.75"/>
  <pageSetup fitToHeight="0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0.0" topLeftCell="F11" activePane="bottomRight" state="frozen"/>
      <selection activeCell="F1" sqref="F1" pane="topRight"/>
      <selection activeCell="A11" sqref="A11" pane="bottomLeft"/>
      <selection activeCell="F11" sqref="F11" pane="bottomRight"/>
    </sheetView>
  </sheetViews>
  <sheetFormatPr customHeight="1" defaultColWidth="12.63" defaultRowHeight="15.75"/>
  <cols>
    <col customWidth="1" min="1" max="1" width="11.88"/>
    <col customWidth="1" min="2" max="2" width="11.0"/>
    <col customWidth="1" min="3" max="3" width="16.13"/>
    <col customWidth="1" min="4" max="4" width="9.75"/>
    <col customWidth="1" min="6" max="18" width="7.5"/>
    <col customWidth="1" hidden="1" min="19" max="19" width="7.5"/>
    <col customWidth="1" min="20" max="24" width="7.5"/>
    <col customWidth="1" hidden="1" min="25" max="25" width="7.5"/>
    <col customWidth="1" min="26" max="28" width="7.5"/>
    <col customWidth="1" hidden="1" min="29" max="30" width="7.5"/>
    <col customWidth="1" min="31" max="32" width="7.5"/>
    <col customWidth="1" hidden="1" min="33" max="34" width="7.5"/>
    <col customWidth="1" min="35" max="36" width="7.5"/>
    <col customWidth="1" min="37" max="40" width="8.63"/>
  </cols>
  <sheetData>
    <row r="1">
      <c r="A1" s="4" t="s">
        <v>2</v>
      </c>
      <c r="B1" s="5"/>
      <c r="C1" s="5"/>
      <c r="D1" s="5"/>
      <c r="E1" s="5"/>
      <c r="F1" s="5"/>
      <c r="G1" s="6"/>
      <c r="H1" s="5" t="s">
        <v>80</v>
      </c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 t="s">
        <v>81</v>
      </c>
      <c r="AL1" s="6"/>
      <c r="AM1" s="8"/>
      <c r="AN1" s="6"/>
    </row>
    <row r="2">
      <c r="A2" s="4" t="s">
        <v>3</v>
      </c>
      <c r="B2" s="5"/>
      <c r="C2" s="5"/>
      <c r="D2" s="5"/>
      <c r="E2" s="5"/>
      <c r="F2" s="5"/>
      <c r="G2" s="6"/>
      <c r="H2" s="5" t="s">
        <v>82</v>
      </c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>
        <f>large($F$9:$AJ$9,1)</f>
        <v>106</v>
      </c>
      <c r="AL2" s="6" t="str">
        <f t="shared" ref="AL2:AL6" si="1">index($F$8:$AJ$10,3,match(AK2,$F$9:$AJ$9,0))</f>
        <v>Scott</v>
      </c>
      <c r="AM2" s="8"/>
      <c r="AN2" s="6"/>
    </row>
    <row r="3">
      <c r="A3" s="4" t="s">
        <v>4</v>
      </c>
      <c r="B3" s="5"/>
      <c r="C3" s="5"/>
      <c r="D3" s="5"/>
      <c r="E3" s="5"/>
      <c r="F3" s="5"/>
      <c r="G3" s="6"/>
      <c r="H3" s="5" t="s">
        <v>83</v>
      </c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>
        <f>large($F$9:$AJ$9,2)</f>
        <v>99</v>
      </c>
      <c r="AL3" s="6" t="str">
        <f t="shared" si="1"/>
        <v>Cam</v>
      </c>
      <c r="AM3" s="8"/>
      <c r="AN3" s="6"/>
    </row>
    <row r="4">
      <c r="A4" s="4" t="s">
        <v>5</v>
      </c>
      <c r="B4" s="5"/>
      <c r="C4" s="5"/>
      <c r="D4" s="5"/>
      <c r="E4" s="5"/>
      <c r="F4" s="5"/>
      <c r="G4" s="6"/>
      <c r="H4" s="14" t="s">
        <v>84</v>
      </c>
      <c r="I4" s="14"/>
      <c r="J4" s="14"/>
      <c r="K4" s="44"/>
      <c r="L4" s="44"/>
      <c r="M4" s="14"/>
      <c r="N4" s="14"/>
      <c r="O4" s="14" t="s">
        <v>85</v>
      </c>
      <c r="P4" s="44"/>
      <c r="Q4" s="44"/>
      <c r="R4" s="44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>
        <f>large($F$9:$AJ$9,3)</f>
        <v>88</v>
      </c>
      <c r="AL4" s="6" t="str">
        <f t="shared" si="1"/>
        <v>Aaron</v>
      </c>
      <c r="AM4" s="8"/>
      <c r="AN4" s="6"/>
    </row>
    <row r="5">
      <c r="A5" s="5"/>
      <c r="B5" s="5"/>
      <c r="C5" s="5"/>
      <c r="D5" s="5"/>
      <c r="E5" s="5"/>
      <c r="F5" s="5"/>
      <c r="G5" s="6"/>
      <c r="H5" s="45" t="s">
        <v>86</v>
      </c>
      <c r="I5" s="45"/>
      <c r="J5" s="45"/>
      <c r="K5" s="46"/>
      <c r="L5" s="46"/>
      <c r="M5" s="46"/>
      <c r="N5" s="46"/>
      <c r="O5" s="46"/>
      <c r="P5" s="46"/>
      <c r="Q5" s="46"/>
      <c r="R5" s="4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>
        <f>large($F$9:$AJ$9,4)</f>
        <v>82</v>
      </c>
      <c r="AL5" s="6" t="str">
        <f t="shared" si="1"/>
        <v>Alex 👑</v>
      </c>
      <c r="AM5" s="8"/>
      <c r="AN5" s="6"/>
    </row>
    <row r="6">
      <c r="A6" s="9" t="s">
        <v>87</v>
      </c>
      <c r="B6" s="5"/>
      <c r="C6" s="5"/>
      <c r="D6" s="5"/>
      <c r="E6" s="5"/>
      <c r="F6" s="5"/>
      <c r="G6" s="6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>
        <f>large($F$9:$AJ$9,5)</f>
        <v>80</v>
      </c>
      <c r="AL6" s="6" t="str">
        <f t="shared" si="1"/>
        <v>Adam</v>
      </c>
      <c r="AM6" s="8"/>
      <c r="AN6" s="6"/>
    </row>
    <row r="7">
      <c r="A7" s="5"/>
      <c r="B7" s="5"/>
      <c r="C7" s="5"/>
      <c r="D7" s="5"/>
      <c r="E7" s="5"/>
      <c r="F7" s="5"/>
      <c r="G7" s="6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8"/>
      <c r="AN7" s="6"/>
    </row>
    <row r="8">
      <c r="A8" s="14" t="s">
        <v>7</v>
      </c>
      <c r="B8" s="15" t="s">
        <v>8</v>
      </c>
      <c r="C8" s="16" t="s">
        <v>9</v>
      </c>
      <c r="D8" s="16"/>
      <c r="E8" s="34">
        <f>sum(E11:E121)-E19-E46-E115-E116</f>
        <v>1097.41</v>
      </c>
      <c r="F8" s="4">
        <f t="shared" ref="F8:AJ8" si="2">sumif(F11:F121,"=x",$E$11:$E$121)</f>
        <v>915.32</v>
      </c>
      <c r="G8" s="4">
        <f t="shared" si="2"/>
        <v>808.67</v>
      </c>
      <c r="H8" s="4">
        <f t="shared" si="2"/>
        <v>836.79</v>
      </c>
      <c r="I8" s="4">
        <f t="shared" si="2"/>
        <v>48.11</v>
      </c>
      <c r="J8" s="4">
        <f t="shared" si="2"/>
        <v>107.57</v>
      </c>
      <c r="K8" s="4">
        <f t="shared" si="2"/>
        <v>301.85</v>
      </c>
      <c r="L8" s="4">
        <f t="shared" si="2"/>
        <v>995.2</v>
      </c>
      <c r="M8" s="4">
        <f t="shared" si="2"/>
        <v>253.79</v>
      </c>
      <c r="N8" s="4">
        <f t="shared" si="2"/>
        <v>120.97</v>
      </c>
      <c r="O8" s="4">
        <f t="shared" si="2"/>
        <v>383.09</v>
      </c>
      <c r="P8" s="4">
        <f t="shared" si="2"/>
        <v>858.24</v>
      </c>
      <c r="Q8" s="4">
        <f t="shared" si="2"/>
        <v>134.74</v>
      </c>
      <c r="R8" s="4">
        <f t="shared" si="2"/>
        <v>251.83</v>
      </c>
      <c r="S8" s="4">
        <f t="shared" si="2"/>
        <v>166.91</v>
      </c>
      <c r="T8" s="4">
        <f t="shared" si="2"/>
        <v>567.03</v>
      </c>
      <c r="U8" s="4">
        <f t="shared" si="2"/>
        <v>81.71</v>
      </c>
      <c r="V8" s="4">
        <f t="shared" si="2"/>
        <v>486.15</v>
      </c>
      <c r="W8" s="4">
        <f t="shared" si="2"/>
        <v>404.65</v>
      </c>
      <c r="X8" s="4">
        <f t="shared" si="2"/>
        <v>207.64</v>
      </c>
      <c r="Y8" s="4">
        <f t="shared" si="2"/>
        <v>41.86</v>
      </c>
      <c r="Z8" s="4">
        <f t="shared" si="2"/>
        <v>162.85</v>
      </c>
      <c r="AA8" s="4">
        <f t="shared" si="2"/>
        <v>313.64</v>
      </c>
      <c r="AB8" s="4">
        <f t="shared" si="2"/>
        <v>264.46</v>
      </c>
      <c r="AC8" s="4">
        <f t="shared" si="2"/>
        <v>78.8</v>
      </c>
      <c r="AD8" s="4">
        <f t="shared" si="2"/>
        <v>24.91</v>
      </c>
      <c r="AE8" s="4">
        <f t="shared" si="2"/>
        <v>1087.16</v>
      </c>
      <c r="AF8" s="4">
        <f t="shared" si="2"/>
        <v>489.09</v>
      </c>
      <c r="AG8" s="4">
        <f t="shared" si="2"/>
        <v>39.59</v>
      </c>
      <c r="AH8" s="4">
        <f t="shared" si="2"/>
        <v>29.56</v>
      </c>
      <c r="AI8" s="4">
        <f t="shared" si="2"/>
        <v>447.73</v>
      </c>
      <c r="AJ8" s="4">
        <f t="shared" si="2"/>
        <v>255.35</v>
      </c>
      <c r="AM8" s="19"/>
    </row>
    <row r="9">
      <c r="A9" s="4"/>
      <c r="B9" s="4"/>
      <c r="C9" s="4"/>
      <c r="D9" s="4"/>
      <c r="F9" s="4">
        <f t="shared" ref="F9:AJ9" si="3">countif(F11:F1016,"x")</f>
        <v>88</v>
      </c>
      <c r="G9" s="4">
        <f t="shared" si="3"/>
        <v>80</v>
      </c>
      <c r="H9" s="4">
        <f t="shared" si="3"/>
        <v>82</v>
      </c>
      <c r="I9" s="4">
        <f t="shared" si="3"/>
        <v>5</v>
      </c>
      <c r="J9" s="4">
        <f t="shared" si="3"/>
        <v>12</v>
      </c>
      <c r="K9" s="4">
        <f t="shared" si="3"/>
        <v>29</v>
      </c>
      <c r="L9" s="4">
        <f t="shared" si="3"/>
        <v>99</v>
      </c>
      <c r="M9" s="4">
        <f t="shared" si="3"/>
        <v>25</v>
      </c>
      <c r="N9" s="4">
        <f t="shared" si="3"/>
        <v>12</v>
      </c>
      <c r="O9" s="4">
        <f t="shared" si="3"/>
        <v>40</v>
      </c>
      <c r="P9" s="4">
        <f t="shared" si="3"/>
        <v>80</v>
      </c>
      <c r="Q9" s="4">
        <f t="shared" si="3"/>
        <v>15</v>
      </c>
      <c r="R9" s="4">
        <f t="shared" si="3"/>
        <v>24</v>
      </c>
      <c r="S9" s="4">
        <f t="shared" si="3"/>
        <v>19</v>
      </c>
      <c r="T9" s="4">
        <f t="shared" si="3"/>
        <v>55</v>
      </c>
      <c r="U9" s="4">
        <f t="shared" si="3"/>
        <v>9</v>
      </c>
      <c r="V9" s="4">
        <f t="shared" si="3"/>
        <v>51</v>
      </c>
      <c r="W9" s="4">
        <f t="shared" si="3"/>
        <v>39</v>
      </c>
      <c r="X9" s="4">
        <f t="shared" si="3"/>
        <v>20</v>
      </c>
      <c r="Y9" s="4">
        <f t="shared" si="3"/>
        <v>4</v>
      </c>
      <c r="Z9" s="4">
        <f t="shared" si="3"/>
        <v>17</v>
      </c>
      <c r="AA9" s="4">
        <f t="shared" si="3"/>
        <v>31</v>
      </c>
      <c r="AB9" s="4">
        <f t="shared" si="3"/>
        <v>29</v>
      </c>
      <c r="AC9" s="4">
        <f t="shared" si="3"/>
        <v>8</v>
      </c>
      <c r="AD9" s="4">
        <f t="shared" si="3"/>
        <v>3</v>
      </c>
      <c r="AE9" s="4">
        <f t="shared" si="3"/>
        <v>106</v>
      </c>
      <c r="AF9" s="4">
        <f t="shared" si="3"/>
        <v>46</v>
      </c>
      <c r="AG9" s="4">
        <f t="shared" si="3"/>
        <v>4</v>
      </c>
      <c r="AH9" s="4">
        <f t="shared" si="3"/>
        <v>3</v>
      </c>
      <c r="AI9" s="4">
        <f t="shared" si="3"/>
        <v>46</v>
      </c>
      <c r="AJ9" s="4">
        <f t="shared" si="3"/>
        <v>26</v>
      </c>
      <c r="AK9" s="4">
        <f>sum(AK11:AK1016)</f>
        <v>26</v>
      </c>
      <c r="AL9" s="3">
        <f>sum(F9:AK9)</f>
        <v>1133</v>
      </c>
      <c r="AM9" s="19">
        <f>sum(AM11:AM121)</f>
        <v>11403.1</v>
      </c>
    </row>
    <row r="10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3" t="s">
        <v>17</v>
      </c>
      <c r="G10" s="3" t="s">
        <v>18</v>
      </c>
      <c r="H10" s="4" t="s">
        <v>19</v>
      </c>
      <c r="I10" s="4" t="s">
        <v>20</v>
      </c>
      <c r="J10" s="4" t="s">
        <v>21</v>
      </c>
      <c r="K10" s="4" t="s">
        <v>22</v>
      </c>
      <c r="L10" s="3" t="s">
        <v>23</v>
      </c>
      <c r="M10" s="4" t="s">
        <v>24</v>
      </c>
      <c r="N10" s="4" t="s">
        <v>25</v>
      </c>
      <c r="O10" s="3" t="s">
        <v>26</v>
      </c>
      <c r="P10" s="3" t="s">
        <v>27</v>
      </c>
      <c r="Q10" s="3" t="s">
        <v>28</v>
      </c>
      <c r="R10" s="4" t="s">
        <v>30</v>
      </c>
      <c r="S10" s="3" t="s">
        <v>32</v>
      </c>
      <c r="T10" s="3" t="s">
        <v>33</v>
      </c>
      <c r="U10" s="4" t="s">
        <v>34</v>
      </c>
      <c r="V10" s="3" t="s">
        <v>35</v>
      </c>
      <c r="W10" s="4" t="s">
        <v>36</v>
      </c>
      <c r="X10" s="4" t="s">
        <v>37</v>
      </c>
      <c r="Y10" s="4" t="s">
        <v>38</v>
      </c>
      <c r="Z10" s="4" t="s">
        <v>39</v>
      </c>
      <c r="AA10" s="3" t="s">
        <v>40</v>
      </c>
      <c r="AB10" s="4" t="s">
        <v>41</v>
      </c>
      <c r="AC10" s="3" t="s">
        <v>42</v>
      </c>
      <c r="AD10" s="4" t="s">
        <v>43</v>
      </c>
      <c r="AE10" s="3" t="s">
        <v>44</v>
      </c>
      <c r="AF10" s="3" t="s">
        <v>45</v>
      </c>
      <c r="AG10" s="3" t="s">
        <v>46</v>
      </c>
      <c r="AH10" s="4" t="s">
        <v>47</v>
      </c>
      <c r="AI10" s="3" t="s">
        <v>48</v>
      </c>
      <c r="AJ10" s="4" t="s">
        <v>49</v>
      </c>
      <c r="AK10" s="47" t="s">
        <v>50</v>
      </c>
      <c r="AM10" s="19"/>
    </row>
    <row r="11">
      <c r="A11" s="25">
        <v>45660.0</v>
      </c>
      <c r="B11" s="4" t="s">
        <v>51</v>
      </c>
      <c r="C11" s="4" t="s">
        <v>52</v>
      </c>
      <c r="D11" s="26">
        <v>7.0</v>
      </c>
      <c r="E11" s="34">
        <v>7.07</v>
      </c>
      <c r="F11" s="4" t="s">
        <v>53</v>
      </c>
      <c r="I11" s="48"/>
      <c r="J11" s="48"/>
      <c r="K11" s="49"/>
      <c r="L11" s="4" t="s">
        <v>53</v>
      </c>
      <c r="M11" s="49"/>
      <c r="N11" s="49"/>
      <c r="O11" s="4" t="s">
        <v>53</v>
      </c>
      <c r="R11" s="48"/>
      <c r="Y11" s="49"/>
      <c r="Z11" s="49"/>
      <c r="AA11" s="4" t="s">
        <v>53</v>
      </c>
      <c r="AC11" s="4" t="s">
        <v>53</v>
      </c>
      <c r="AD11" s="49"/>
      <c r="AE11" s="4" t="s">
        <v>53</v>
      </c>
      <c r="AH11" s="49"/>
      <c r="AJ11" s="48"/>
      <c r="AK11" s="4">
        <v>2.0</v>
      </c>
      <c r="AL11" s="3">
        <f t="shared" ref="AL11:AL121" si="4">countif(F11:AJ11,"x")+AK11</f>
        <v>8</v>
      </c>
      <c r="AM11" s="19">
        <f t="shared" ref="AM11:AM121" si="5">AL11*E11</f>
        <v>56.56</v>
      </c>
    </row>
    <row r="12">
      <c r="A12" s="28">
        <f>A11+5</f>
        <v>45665</v>
      </c>
      <c r="B12" s="4" t="s">
        <v>56</v>
      </c>
      <c r="C12" s="4" t="s">
        <v>57</v>
      </c>
      <c r="D12" s="26">
        <v>8.0</v>
      </c>
      <c r="E12" s="34">
        <v>7.95</v>
      </c>
      <c r="F12" s="4" t="s">
        <v>53</v>
      </c>
      <c r="G12" s="4" t="s">
        <v>53</v>
      </c>
      <c r="H12" s="4" t="s">
        <v>53</v>
      </c>
      <c r="I12" s="49"/>
      <c r="J12" s="49"/>
      <c r="K12" s="49"/>
      <c r="L12" s="4" t="s">
        <v>53</v>
      </c>
      <c r="M12" s="49"/>
      <c r="N12" s="49"/>
      <c r="O12" s="4" t="s">
        <v>53</v>
      </c>
      <c r="Q12" s="4" t="s">
        <v>53</v>
      </c>
      <c r="R12" s="49"/>
      <c r="U12" s="4"/>
      <c r="V12" s="4" t="s">
        <v>53</v>
      </c>
      <c r="W12" s="4"/>
      <c r="X12" s="4" t="s">
        <v>53</v>
      </c>
      <c r="Y12" s="48"/>
      <c r="Z12" s="49"/>
      <c r="AA12" s="4" t="s">
        <v>53</v>
      </c>
      <c r="AB12" s="3" t="s">
        <v>88</v>
      </c>
      <c r="AD12" s="48"/>
      <c r="AE12" s="4" t="s">
        <v>53</v>
      </c>
      <c r="AF12" s="4" t="s">
        <v>53</v>
      </c>
      <c r="AG12" s="4" t="s">
        <v>53</v>
      </c>
      <c r="AH12" s="48"/>
      <c r="AI12" s="4" t="s">
        <v>53</v>
      </c>
      <c r="AJ12" s="49"/>
      <c r="AK12" s="4">
        <v>1.0</v>
      </c>
      <c r="AL12" s="3">
        <f t="shared" si="4"/>
        <v>14</v>
      </c>
      <c r="AM12" s="19">
        <f t="shared" si="5"/>
        <v>111.3</v>
      </c>
    </row>
    <row r="13">
      <c r="A13" s="30">
        <f>A12+2</f>
        <v>45667</v>
      </c>
      <c r="B13" s="4" t="s">
        <v>51</v>
      </c>
      <c r="C13" s="4" t="s">
        <v>52</v>
      </c>
      <c r="D13" s="26">
        <v>7.0</v>
      </c>
      <c r="E13" s="34">
        <v>7.1</v>
      </c>
      <c r="F13" s="3" t="s">
        <v>88</v>
      </c>
      <c r="G13" s="4" t="s">
        <v>53</v>
      </c>
      <c r="H13" s="4" t="s">
        <v>53</v>
      </c>
      <c r="I13" s="49"/>
      <c r="J13" s="49"/>
      <c r="K13" s="49"/>
      <c r="L13" s="4" t="s">
        <v>53</v>
      </c>
      <c r="M13" s="48"/>
      <c r="N13" s="48"/>
      <c r="R13" s="48"/>
      <c r="Y13" s="48"/>
      <c r="Z13" s="48"/>
      <c r="AD13" s="48"/>
      <c r="AE13" s="4" t="s">
        <v>53</v>
      </c>
      <c r="AH13" s="48"/>
      <c r="AJ13" s="48"/>
      <c r="AL13" s="3">
        <f t="shared" si="4"/>
        <v>4</v>
      </c>
      <c r="AM13" s="19">
        <f t="shared" si="5"/>
        <v>28.4</v>
      </c>
    </row>
    <row r="14">
      <c r="A14" s="28">
        <f>A13+5</f>
        <v>45672</v>
      </c>
      <c r="B14" s="4" t="s">
        <v>56</v>
      </c>
      <c r="C14" s="4" t="s">
        <v>59</v>
      </c>
      <c r="D14" s="26">
        <v>8.0</v>
      </c>
      <c r="E14" s="34">
        <v>8.44</v>
      </c>
      <c r="F14" s="4" t="s">
        <v>53</v>
      </c>
      <c r="G14" s="4" t="s">
        <v>53</v>
      </c>
      <c r="H14" s="4" t="s">
        <v>53</v>
      </c>
      <c r="I14" s="49"/>
      <c r="J14" s="49"/>
      <c r="K14" s="49"/>
      <c r="L14" s="4" t="s">
        <v>53</v>
      </c>
      <c r="M14" s="49"/>
      <c r="N14" s="49"/>
      <c r="O14" s="4" t="s">
        <v>89</v>
      </c>
      <c r="Q14" s="4" t="s">
        <v>53</v>
      </c>
      <c r="R14" s="49"/>
      <c r="S14" s="4" t="s">
        <v>53</v>
      </c>
      <c r="U14" s="4"/>
      <c r="V14" s="4" t="s">
        <v>53</v>
      </c>
      <c r="W14" s="4"/>
      <c r="Y14" s="49"/>
      <c r="Z14" s="48"/>
      <c r="AC14" s="4" t="s">
        <v>89</v>
      </c>
      <c r="AD14" s="49"/>
      <c r="AE14" s="4" t="s">
        <v>53</v>
      </c>
      <c r="AF14" s="4" t="s">
        <v>53</v>
      </c>
      <c r="AH14" s="49"/>
      <c r="AI14" s="4" t="s">
        <v>53</v>
      </c>
      <c r="AJ14" s="49"/>
      <c r="AL14" s="3">
        <f t="shared" si="4"/>
        <v>10</v>
      </c>
      <c r="AM14" s="19">
        <f t="shared" si="5"/>
        <v>84.4</v>
      </c>
    </row>
    <row r="15">
      <c r="A15" s="28">
        <f>A14+2</f>
        <v>45674</v>
      </c>
      <c r="B15" s="4" t="s">
        <v>60</v>
      </c>
      <c r="C15" s="4" t="s">
        <v>61</v>
      </c>
      <c r="D15" s="26">
        <v>12.5</v>
      </c>
      <c r="E15" s="34">
        <v>12.3</v>
      </c>
      <c r="F15" s="4" t="s">
        <v>53</v>
      </c>
      <c r="G15" s="4" t="s">
        <v>53</v>
      </c>
      <c r="H15" s="4" t="s">
        <v>53</v>
      </c>
      <c r="I15" s="49"/>
      <c r="J15" s="49"/>
      <c r="K15" s="49"/>
      <c r="L15" s="4" t="s">
        <v>53</v>
      </c>
      <c r="M15" s="48"/>
      <c r="N15" s="48"/>
      <c r="R15" s="48"/>
      <c r="Y15" s="48"/>
      <c r="Z15" s="48"/>
      <c r="AD15" s="48"/>
      <c r="AE15" s="4" t="s">
        <v>53</v>
      </c>
      <c r="AF15" s="4" t="s">
        <v>53</v>
      </c>
      <c r="AH15" s="48"/>
      <c r="AJ15" s="48"/>
      <c r="AL15" s="3">
        <f t="shared" si="4"/>
        <v>6</v>
      </c>
      <c r="AM15" s="19">
        <f t="shared" si="5"/>
        <v>73.8</v>
      </c>
    </row>
    <row r="16">
      <c r="A16" s="28">
        <f>A15+5</f>
        <v>45679</v>
      </c>
      <c r="B16" s="4" t="s">
        <v>56</v>
      </c>
      <c r="C16" s="4" t="s">
        <v>62</v>
      </c>
      <c r="D16" s="26">
        <v>12.5</v>
      </c>
      <c r="E16" s="34">
        <v>12.33</v>
      </c>
      <c r="F16" s="4" t="s">
        <v>53</v>
      </c>
      <c r="G16" s="4" t="s">
        <v>53</v>
      </c>
      <c r="H16" s="4" t="s">
        <v>53</v>
      </c>
      <c r="I16" s="49"/>
      <c r="J16" s="49"/>
      <c r="K16" s="49"/>
      <c r="L16" s="4" t="s">
        <v>53</v>
      </c>
      <c r="M16" s="48"/>
      <c r="N16" s="48"/>
      <c r="R16" s="48"/>
      <c r="T16" s="4" t="s">
        <v>53</v>
      </c>
      <c r="V16" s="4" t="s">
        <v>53</v>
      </c>
      <c r="W16" s="4"/>
      <c r="X16" s="4" t="s">
        <v>53</v>
      </c>
      <c r="Y16" s="49"/>
      <c r="Z16" s="49"/>
      <c r="AA16" s="4" t="s">
        <v>53</v>
      </c>
      <c r="AB16" s="4" t="s">
        <v>53</v>
      </c>
      <c r="AC16" s="4" t="s">
        <v>53</v>
      </c>
      <c r="AD16" s="49"/>
      <c r="AE16" s="4" t="s">
        <v>53</v>
      </c>
      <c r="AF16" s="4" t="s">
        <v>53</v>
      </c>
      <c r="AH16" s="49"/>
      <c r="AI16" s="4" t="s">
        <v>53</v>
      </c>
      <c r="AJ16" s="48"/>
      <c r="AK16" s="4">
        <v>1.0</v>
      </c>
      <c r="AL16" s="3">
        <f t="shared" si="4"/>
        <v>14</v>
      </c>
      <c r="AM16" s="19">
        <f t="shared" si="5"/>
        <v>172.62</v>
      </c>
    </row>
    <row r="17">
      <c r="A17" s="30">
        <f>A16+2</f>
        <v>45681</v>
      </c>
      <c r="B17" s="4" t="s">
        <v>51</v>
      </c>
      <c r="C17" s="4" t="s">
        <v>52</v>
      </c>
      <c r="D17" s="26">
        <v>7.0</v>
      </c>
      <c r="E17" s="34">
        <v>7.09</v>
      </c>
      <c r="F17" s="4" t="s">
        <v>53</v>
      </c>
      <c r="G17" s="4" t="s">
        <v>53</v>
      </c>
      <c r="H17" s="4" t="s">
        <v>53</v>
      </c>
      <c r="I17" s="49"/>
      <c r="J17" s="49"/>
      <c r="K17" s="49"/>
      <c r="L17" s="4" t="s">
        <v>53</v>
      </c>
      <c r="M17" s="48"/>
      <c r="N17" s="48"/>
      <c r="R17" s="48"/>
      <c r="Y17" s="49"/>
      <c r="Z17" s="48"/>
      <c r="AC17" s="4" t="s">
        <v>53</v>
      </c>
      <c r="AD17" s="49"/>
      <c r="AE17" s="4" t="s">
        <v>53</v>
      </c>
      <c r="AH17" s="49"/>
      <c r="AJ17" s="48"/>
      <c r="AK17" s="4">
        <v>1.0</v>
      </c>
      <c r="AL17" s="3">
        <f t="shared" si="4"/>
        <v>7</v>
      </c>
      <c r="AM17" s="19">
        <f t="shared" si="5"/>
        <v>49.63</v>
      </c>
    </row>
    <row r="18">
      <c r="A18" s="39">
        <v>45684.0</v>
      </c>
      <c r="B18" s="4" t="s">
        <v>56</v>
      </c>
      <c r="C18" s="4" t="s">
        <v>90</v>
      </c>
      <c r="D18" s="26">
        <v>21.1</v>
      </c>
      <c r="E18" s="34">
        <v>21.11</v>
      </c>
      <c r="F18" s="4" t="s">
        <v>53</v>
      </c>
      <c r="G18" s="4" t="s">
        <v>53</v>
      </c>
      <c r="H18" s="4" t="s">
        <v>53</v>
      </c>
      <c r="I18" s="49"/>
      <c r="J18" s="49"/>
      <c r="K18" s="49"/>
      <c r="L18" s="4" t="s">
        <v>53</v>
      </c>
      <c r="M18" s="48"/>
      <c r="N18" s="48"/>
      <c r="P18" s="4" t="s">
        <v>53</v>
      </c>
      <c r="R18" s="48"/>
      <c r="T18" s="4" t="s">
        <v>53</v>
      </c>
      <c r="Y18" s="49"/>
      <c r="Z18" s="48"/>
      <c r="AC18" s="4" t="s">
        <v>53</v>
      </c>
      <c r="AD18" s="49"/>
      <c r="AE18" s="4" t="s">
        <v>53</v>
      </c>
      <c r="AF18" s="4" t="s">
        <v>53</v>
      </c>
      <c r="AH18" s="49"/>
      <c r="AJ18" s="48"/>
      <c r="AL18" s="3">
        <f t="shared" si="4"/>
        <v>9</v>
      </c>
      <c r="AM18" s="19">
        <f t="shared" si="5"/>
        <v>189.99</v>
      </c>
    </row>
    <row r="19">
      <c r="A19" s="39">
        <v>45684.0</v>
      </c>
      <c r="B19" s="4" t="s">
        <v>56</v>
      </c>
      <c r="C19" s="4" t="s">
        <v>91</v>
      </c>
      <c r="D19" s="26">
        <v>10.0</v>
      </c>
      <c r="E19" s="34">
        <v>10.32</v>
      </c>
      <c r="I19" s="48"/>
      <c r="J19" s="48"/>
      <c r="K19" s="48"/>
      <c r="M19" s="48"/>
      <c r="N19" s="48"/>
      <c r="Q19" s="4" t="s">
        <v>53</v>
      </c>
      <c r="R19" s="49"/>
      <c r="X19" s="4" t="s">
        <v>53</v>
      </c>
      <c r="Y19" s="48"/>
      <c r="Z19" s="48"/>
      <c r="AB19" s="4" t="s">
        <v>53</v>
      </c>
      <c r="AD19" s="48"/>
      <c r="AG19" s="4" t="s">
        <v>53</v>
      </c>
      <c r="AH19" s="48"/>
      <c r="AJ19" s="49"/>
      <c r="AL19" s="3">
        <f t="shared" si="4"/>
        <v>4</v>
      </c>
      <c r="AM19" s="19">
        <f t="shared" si="5"/>
        <v>41.28</v>
      </c>
    </row>
    <row r="20">
      <c r="A20" s="30">
        <f>A17+5</f>
        <v>45686</v>
      </c>
      <c r="B20" s="4" t="s">
        <v>56</v>
      </c>
      <c r="C20" s="4" t="s">
        <v>59</v>
      </c>
      <c r="D20" s="26">
        <v>8.0</v>
      </c>
      <c r="E20" s="34">
        <v>8.97</v>
      </c>
      <c r="F20" s="4" t="s">
        <v>53</v>
      </c>
      <c r="G20" s="4" t="s">
        <v>53</v>
      </c>
      <c r="H20" s="4" t="s">
        <v>53</v>
      </c>
      <c r="I20" s="49"/>
      <c r="J20" s="49"/>
      <c r="K20" s="49"/>
      <c r="L20" s="4" t="s">
        <v>53</v>
      </c>
      <c r="M20" s="49"/>
      <c r="N20" s="49"/>
      <c r="O20" s="4" t="s">
        <v>53</v>
      </c>
      <c r="P20" s="4" t="s">
        <v>53</v>
      </c>
      <c r="R20" s="48"/>
      <c r="T20" s="4" t="s">
        <v>53</v>
      </c>
      <c r="U20" s="4"/>
      <c r="V20" s="4" t="s">
        <v>53</v>
      </c>
      <c r="W20" s="4"/>
      <c r="X20" s="4" t="s">
        <v>53</v>
      </c>
      <c r="Y20" s="49"/>
      <c r="Z20" s="48"/>
      <c r="AB20" s="4" t="s">
        <v>53</v>
      </c>
      <c r="AC20" s="4" t="s">
        <v>53</v>
      </c>
      <c r="AD20" s="49"/>
      <c r="AE20" s="4" t="s">
        <v>53</v>
      </c>
      <c r="AF20" s="4" t="s">
        <v>89</v>
      </c>
      <c r="AG20" s="4" t="s">
        <v>53</v>
      </c>
      <c r="AH20" s="49"/>
      <c r="AI20" s="4" t="s">
        <v>53</v>
      </c>
      <c r="AJ20" s="48"/>
      <c r="AL20" s="3">
        <f t="shared" si="4"/>
        <v>14</v>
      </c>
      <c r="AM20" s="19">
        <f t="shared" si="5"/>
        <v>125.58</v>
      </c>
    </row>
    <row r="21">
      <c r="A21" s="30">
        <f>A20+2</f>
        <v>45688</v>
      </c>
      <c r="B21" s="4" t="s">
        <v>51</v>
      </c>
      <c r="C21" s="4" t="s">
        <v>52</v>
      </c>
      <c r="D21" s="26">
        <v>7.0</v>
      </c>
      <c r="E21" s="34">
        <v>7.08</v>
      </c>
      <c r="F21" s="4" t="s">
        <v>53</v>
      </c>
      <c r="G21" s="4" t="s">
        <v>53</v>
      </c>
      <c r="H21" s="4" t="s">
        <v>53</v>
      </c>
      <c r="I21" s="49"/>
      <c r="J21" s="49"/>
      <c r="K21" s="49"/>
      <c r="L21" s="4" t="s">
        <v>53</v>
      </c>
      <c r="M21" s="49"/>
      <c r="N21" s="49"/>
      <c r="O21" s="4" t="s">
        <v>53</v>
      </c>
      <c r="P21" s="4" t="s">
        <v>89</v>
      </c>
      <c r="R21" s="48"/>
      <c r="Y21" s="49"/>
      <c r="Z21" s="48"/>
      <c r="AC21" s="4" t="s">
        <v>53</v>
      </c>
      <c r="AD21" s="49"/>
      <c r="AE21" s="4" t="s">
        <v>53</v>
      </c>
      <c r="AF21" s="4" t="s">
        <v>89</v>
      </c>
      <c r="AH21" s="49"/>
      <c r="AJ21" s="48"/>
      <c r="AL21" s="3">
        <f t="shared" si="4"/>
        <v>7</v>
      </c>
      <c r="AM21" s="19">
        <f t="shared" si="5"/>
        <v>49.56</v>
      </c>
    </row>
    <row r="22">
      <c r="A22" s="30">
        <f>A21+5</f>
        <v>45693</v>
      </c>
      <c r="B22" s="4" t="s">
        <v>56</v>
      </c>
      <c r="C22" s="4" t="s">
        <v>57</v>
      </c>
      <c r="D22" s="26">
        <v>8.0</v>
      </c>
      <c r="E22" s="34">
        <v>8.01</v>
      </c>
      <c r="F22" s="4" t="s">
        <v>53</v>
      </c>
      <c r="G22" s="4" t="s">
        <v>53</v>
      </c>
      <c r="H22" s="4" t="s">
        <v>53</v>
      </c>
      <c r="I22" s="49"/>
      <c r="J22" s="49"/>
      <c r="K22" s="49"/>
      <c r="L22" s="4" t="s">
        <v>53</v>
      </c>
      <c r="M22" s="49"/>
      <c r="N22" s="49"/>
      <c r="O22" s="4" t="s">
        <v>89</v>
      </c>
      <c r="P22" s="4" t="s">
        <v>53</v>
      </c>
      <c r="Q22" s="4" t="s">
        <v>53</v>
      </c>
      <c r="R22" s="49"/>
      <c r="S22" s="4" t="s">
        <v>53</v>
      </c>
      <c r="T22" s="4" t="s">
        <v>53</v>
      </c>
      <c r="V22" s="4" t="s">
        <v>53</v>
      </c>
      <c r="W22" s="4"/>
      <c r="X22" s="4" t="s">
        <v>53</v>
      </c>
      <c r="Y22" s="49"/>
      <c r="Z22" s="48"/>
      <c r="AB22" s="4" t="s">
        <v>53</v>
      </c>
      <c r="AC22" s="4" t="s">
        <v>53</v>
      </c>
      <c r="AD22" s="49"/>
      <c r="AE22" s="4" t="s">
        <v>53</v>
      </c>
      <c r="AF22" s="4" t="s">
        <v>53</v>
      </c>
      <c r="AH22" s="49"/>
      <c r="AI22" s="4" t="s">
        <v>53</v>
      </c>
      <c r="AJ22" s="49"/>
      <c r="AL22" s="3">
        <f t="shared" si="4"/>
        <v>15</v>
      </c>
      <c r="AM22" s="19">
        <f t="shared" si="5"/>
        <v>120.15</v>
      </c>
    </row>
    <row r="23">
      <c r="A23" s="30">
        <f>A22+2</f>
        <v>45695</v>
      </c>
      <c r="B23" s="4" t="s">
        <v>51</v>
      </c>
      <c r="C23" s="4" t="s">
        <v>52</v>
      </c>
      <c r="D23" s="26">
        <v>7.0</v>
      </c>
      <c r="E23" s="34">
        <v>7.14</v>
      </c>
      <c r="F23" s="4" t="s">
        <v>53</v>
      </c>
      <c r="G23" s="4" t="s">
        <v>53</v>
      </c>
      <c r="H23" s="4" t="s">
        <v>53</v>
      </c>
      <c r="I23" s="49"/>
      <c r="J23" s="49"/>
      <c r="K23" s="49"/>
      <c r="L23" s="4" t="s">
        <v>53</v>
      </c>
      <c r="M23" s="49"/>
      <c r="N23" s="49"/>
      <c r="O23" s="4" t="s">
        <v>53</v>
      </c>
      <c r="R23" s="48"/>
      <c r="Y23" s="48"/>
      <c r="Z23" s="48"/>
      <c r="AC23" s="4" t="s">
        <v>53</v>
      </c>
      <c r="AD23" s="48"/>
      <c r="AE23" s="4" t="s">
        <v>53</v>
      </c>
      <c r="AF23" s="4" t="s">
        <v>53</v>
      </c>
      <c r="AH23" s="48"/>
      <c r="AJ23" s="48"/>
      <c r="AL23" s="3">
        <f t="shared" si="4"/>
        <v>8</v>
      </c>
      <c r="AM23" s="19">
        <f t="shared" si="5"/>
        <v>57.12</v>
      </c>
    </row>
    <row r="24">
      <c r="A24" s="30">
        <f>A23+5</f>
        <v>45700</v>
      </c>
      <c r="B24" s="4" t="s">
        <v>56</v>
      </c>
      <c r="C24" s="4" t="s">
        <v>59</v>
      </c>
      <c r="D24" s="26">
        <v>8.0</v>
      </c>
      <c r="E24" s="34">
        <v>8.45</v>
      </c>
      <c r="F24" s="4" t="s">
        <v>53</v>
      </c>
      <c r="G24" s="4" t="s">
        <v>53</v>
      </c>
      <c r="H24" s="4" t="s">
        <v>53</v>
      </c>
      <c r="I24" s="49"/>
      <c r="J24" s="49"/>
      <c r="K24" s="49"/>
      <c r="L24" s="4" t="s">
        <v>53</v>
      </c>
      <c r="M24" s="49"/>
      <c r="N24" s="49"/>
      <c r="O24" s="4" t="s">
        <v>53</v>
      </c>
      <c r="P24" s="4" t="s">
        <v>53</v>
      </c>
      <c r="Q24" s="4" t="s">
        <v>53</v>
      </c>
      <c r="R24" s="49"/>
      <c r="S24" s="4" t="s">
        <v>53</v>
      </c>
      <c r="T24" s="4" t="s">
        <v>53</v>
      </c>
      <c r="V24" s="4" t="s">
        <v>53</v>
      </c>
      <c r="W24" s="4"/>
      <c r="X24" s="4" t="s">
        <v>53</v>
      </c>
      <c r="Y24" s="48"/>
      <c r="Z24" s="48"/>
      <c r="AD24" s="48"/>
      <c r="AE24" s="4" t="s">
        <v>53</v>
      </c>
      <c r="AF24" s="4" t="s">
        <v>53</v>
      </c>
      <c r="AH24" s="48"/>
      <c r="AI24" s="4" t="s">
        <v>53</v>
      </c>
      <c r="AJ24" s="49"/>
      <c r="AL24" s="3">
        <f t="shared" si="4"/>
        <v>14</v>
      </c>
      <c r="AM24" s="19">
        <f t="shared" si="5"/>
        <v>118.3</v>
      </c>
    </row>
    <row r="25">
      <c r="A25" s="30">
        <f>A24+2</f>
        <v>45702</v>
      </c>
      <c r="B25" s="4" t="s">
        <v>60</v>
      </c>
      <c r="C25" s="4" t="s">
        <v>61</v>
      </c>
      <c r="D25" s="26">
        <v>12.5</v>
      </c>
      <c r="E25" s="34">
        <v>12.37</v>
      </c>
      <c r="F25" s="4" t="s">
        <v>53</v>
      </c>
      <c r="G25" s="4" t="s">
        <v>53</v>
      </c>
      <c r="H25" s="4" t="s">
        <v>89</v>
      </c>
      <c r="I25" s="49"/>
      <c r="J25" s="49"/>
      <c r="K25" s="49"/>
      <c r="L25" s="4" t="s">
        <v>53</v>
      </c>
      <c r="M25" s="49"/>
      <c r="N25" s="49"/>
      <c r="O25" s="4" t="s">
        <v>89</v>
      </c>
      <c r="P25" s="4" t="s">
        <v>53</v>
      </c>
      <c r="R25" s="48"/>
      <c r="T25" s="4" t="s">
        <v>53</v>
      </c>
      <c r="Y25" s="48"/>
      <c r="Z25" s="48"/>
      <c r="AB25" s="4" t="s">
        <v>89</v>
      </c>
      <c r="AD25" s="48"/>
      <c r="AE25" s="4" t="s">
        <v>53</v>
      </c>
      <c r="AF25" s="4" t="s">
        <v>53</v>
      </c>
      <c r="AH25" s="48"/>
      <c r="AI25" s="4" t="s">
        <v>53</v>
      </c>
      <c r="AJ25" s="48"/>
      <c r="AL25" s="3">
        <f t="shared" si="4"/>
        <v>8</v>
      </c>
      <c r="AM25" s="19">
        <f t="shared" si="5"/>
        <v>98.96</v>
      </c>
    </row>
    <row r="26">
      <c r="A26" s="30">
        <f>A25+5</f>
        <v>45707</v>
      </c>
      <c r="B26" s="4" t="s">
        <v>56</v>
      </c>
      <c r="C26" s="4" t="s">
        <v>62</v>
      </c>
      <c r="D26" s="26">
        <v>12.5</v>
      </c>
      <c r="E26" s="34">
        <v>12.3</v>
      </c>
      <c r="F26" s="4" t="s">
        <v>53</v>
      </c>
      <c r="G26" s="4" t="s">
        <v>92</v>
      </c>
      <c r="H26" s="4" t="s">
        <v>53</v>
      </c>
      <c r="I26" s="49"/>
      <c r="J26" s="49"/>
      <c r="K26" s="49"/>
      <c r="L26" s="4" t="s">
        <v>53</v>
      </c>
      <c r="M26" s="49"/>
      <c r="N26" s="49"/>
      <c r="O26" s="4" t="s">
        <v>53</v>
      </c>
      <c r="P26" s="4" t="s">
        <v>53</v>
      </c>
      <c r="R26" s="48"/>
      <c r="S26" s="4" t="s">
        <v>53</v>
      </c>
      <c r="T26" s="4" t="s">
        <v>53</v>
      </c>
      <c r="V26" s="4" t="s">
        <v>53</v>
      </c>
      <c r="W26" s="4" t="s">
        <v>53</v>
      </c>
      <c r="X26" s="4" t="s">
        <v>53</v>
      </c>
      <c r="Y26" s="4" t="s">
        <v>53</v>
      </c>
      <c r="Z26" s="49"/>
      <c r="AA26" s="4" t="s">
        <v>53</v>
      </c>
      <c r="AB26" s="4" t="s">
        <v>53</v>
      </c>
      <c r="AC26" s="4" t="s">
        <v>93</v>
      </c>
      <c r="AD26" s="48"/>
      <c r="AE26" s="4" t="s">
        <v>53</v>
      </c>
      <c r="AF26" s="4" t="s">
        <v>53</v>
      </c>
      <c r="AI26" s="4" t="s">
        <v>53</v>
      </c>
      <c r="AJ26" s="48"/>
      <c r="AL26" s="3">
        <f t="shared" si="4"/>
        <v>16</v>
      </c>
      <c r="AM26" s="19">
        <f t="shared" si="5"/>
        <v>196.8</v>
      </c>
    </row>
    <row r="27">
      <c r="A27" s="30">
        <f>A26+2</f>
        <v>45709</v>
      </c>
      <c r="B27" s="4" t="s">
        <v>51</v>
      </c>
      <c r="C27" s="4" t="s">
        <v>52</v>
      </c>
      <c r="D27" s="26">
        <v>7.0</v>
      </c>
      <c r="E27" s="34">
        <v>7.06</v>
      </c>
      <c r="F27" s="4" t="s">
        <v>89</v>
      </c>
      <c r="H27" s="4" t="s">
        <v>53</v>
      </c>
      <c r="I27" s="49"/>
      <c r="J27" s="49"/>
      <c r="K27" s="49"/>
      <c r="L27" s="4" t="s">
        <v>53</v>
      </c>
      <c r="M27" s="48"/>
      <c r="N27" s="48"/>
      <c r="P27" s="4" t="s">
        <v>53</v>
      </c>
      <c r="R27" s="48"/>
      <c r="Z27" s="49"/>
      <c r="AA27" s="4" t="s">
        <v>53</v>
      </c>
      <c r="AD27" s="48"/>
      <c r="AE27" s="4" t="s">
        <v>53</v>
      </c>
      <c r="AJ27" s="48"/>
      <c r="AL27" s="3">
        <f t="shared" si="4"/>
        <v>5</v>
      </c>
      <c r="AM27" s="19">
        <f t="shared" si="5"/>
        <v>35.3</v>
      </c>
    </row>
    <row r="28">
      <c r="A28" s="30">
        <f>A27+5</f>
        <v>45714</v>
      </c>
      <c r="B28" s="4" t="s">
        <v>56</v>
      </c>
      <c r="C28" s="4" t="s">
        <v>59</v>
      </c>
      <c r="D28" s="26">
        <v>8.0</v>
      </c>
      <c r="E28" s="34">
        <v>8.6</v>
      </c>
      <c r="F28" s="4" t="s">
        <v>53</v>
      </c>
      <c r="G28" s="4" t="s">
        <v>92</v>
      </c>
      <c r="H28" s="4" t="s">
        <v>53</v>
      </c>
      <c r="I28" s="49"/>
      <c r="J28" s="49"/>
      <c r="K28" s="49"/>
      <c r="L28" s="4" t="s">
        <v>53</v>
      </c>
      <c r="M28" s="49"/>
      <c r="N28" s="49"/>
      <c r="O28" s="4" t="s">
        <v>53</v>
      </c>
      <c r="P28" s="4" t="s">
        <v>53</v>
      </c>
      <c r="R28" s="48"/>
      <c r="S28" s="4" t="s">
        <v>53</v>
      </c>
      <c r="V28" s="4" t="s">
        <v>53</v>
      </c>
      <c r="W28" s="4"/>
      <c r="Y28" s="4" t="s">
        <v>53</v>
      </c>
      <c r="Z28" s="48"/>
      <c r="AB28" s="4" t="s">
        <v>89</v>
      </c>
      <c r="AC28" s="4" t="s">
        <v>92</v>
      </c>
      <c r="AE28" s="4" t="s">
        <v>53</v>
      </c>
      <c r="AF28" s="4" t="s">
        <v>53</v>
      </c>
      <c r="AH28" s="4" t="s">
        <v>53</v>
      </c>
      <c r="AI28" s="4" t="s">
        <v>92</v>
      </c>
      <c r="AJ28" s="48"/>
      <c r="AL28" s="3">
        <f t="shared" si="4"/>
        <v>11</v>
      </c>
      <c r="AM28" s="19">
        <f t="shared" si="5"/>
        <v>94.6</v>
      </c>
    </row>
    <row r="29">
      <c r="A29" s="30">
        <f>A28+2</f>
        <v>45716</v>
      </c>
      <c r="B29" s="4" t="s">
        <v>51</v>
      </c>
      <c r="C29" s="4" t="s">
        <v>52</v>
      </c>
      <c r="D29" s="26">
        <v>7.0</v>
      </c>
      <c r="E29" s="34">
        <v>7.07</v>
      </c>
      <c r="F29" s="4" t="s">
        <v>53</v>
      </c>
      <c r="I29" s="48"/>
      <c r="J29" s="48"/>
      <c r="K29" s="49"/>
      <c r="L29" s="4" t="s">
        <v>53</v>
      </c>
      <c r="M29" s="48"/>
      <c r="N29" s="48"/>
      <c r="P29" s="4" t="s">
        <v>53</v>
      </c>
      <c r="R29" s="48"/>
      <c r="Z29" s="48"/>
      <c r="AE29" s="4" t="s">
        <v>53</v>
      </c>
      <c r="AF29" s="4" t="s">
        <v>53</v>
      </c>
      <c r="AI29" s="4" t="s">
        <v>53</v>
      </c>
      <c r="AJ29" s="48"/>
      <c r="AL29" s="3">
        <f t="shared" si="4"/>
        <v>6</v>
      </c>
      <c r="AM29" s="19">
        <f t="shared" si="5"/>
        <v>42.42</v>
      </c>
    </row>
    <row r="30">
      <c r="A30" s="30">
        <f>A29+5</f>
        <v>45721</v>
      </c>
      <c r="B30" s="4" t="s">
        <v>56</v>
      </c>
      <c r="C30" s="4" t="s">
        <v>57</v>
      </c>
      <c r="D30" s="26">
        <v>8.0</v>
      </c>
      <c r="E30" s="34">
        <v>8.06</v>
      </c>
      <c r="F30" s="4" t="s">
        <v>53</v>
      </c>
      <c r="G30" s="4" t="s">
        <v>53</v>
      </c>
      <c r="H30" s="4" t="s">
        <v>53</v>
      </c>
      <c r="I30" s="4"/>
      <c r="J30" s="4" t="s">
        <v>53</v>
      </c>
      <c r="K30" s="49"/>
      <c r="L30" s="4" t="s">
        <v>53</v>
      </c>
      <c r="M30" s="49"/>
      <c r="N30" s="49"/>
      <c r="O30" s="4" t="s">
        <v>53</v>
      </c>
      <c r="P30" s="4" t="s">
        <v>53</v>
      </c>
      <c r="R30" s="48"/>
      <c r="S30" s="4" t="s">
        <v>53</v>
      </c>
      <c r="T30" s="4" t="s">
        <v>53</v>
      </c>
      <c r="V30" s="4" t="s">
        <v>53</v>
      </c>
      <c r="W30" s="4" t="s">
        <v>53</v>
      </c>
      <c r="X30" s="4" t="s">
        <v>53</v>
      </c>
      <c r="Z30" s="49"/>
      <c r="AA30" s="4" t="s">
        <v>53</v>
      </c>
      <c r="AB30" s="4" t="s">
        <v>53</v>
      </c>
      <c r="AD30" s="4" t="s">
        <v>53</v>
      </c>
      <c r="AE30" s="4" t="s">
        <v>53</v>
      </c>
      <c r="AF30" s="4" t="s">
        <v>53</v>
      </c>
      <c r="AI30" s="4" t="s">
        <v>53</v>
      </c>
      <c r="AJ30" s="48"/>
      <c r="AK30" s="4">
        <v>2.0</v>
      </c>
      <c r="AL30" s="3">
        <f t="shared" si="4"/>
        <v>20</v>
      </c>
      <c r="AM30" s="19">
        <f t="shared" si="5"/>
        <v>161.2</v>
      </c>
    </row>
    <row r="31">
      <c r="A31" s="30">
        <f>A30+2</f>
        <v>45723</v>
      </c>
      <c r="B31" s="4" t="s">
        <v>51</v>
      </c>
      <c r="C31" s="4" t="s">
        <v>52</v>
      </c>
      <c r="D31" s="26">
        <v>7.0</v>
      </c>
      <c r="E31" s="34">
        <v>7.08</v>
      </c>
      <c r="F31" s="4" t="s">
        <v>53</v>
      </c>
      <c r="G31" s="4" t="s">
        <v>53</v>
      </c>
      <c r="H31" s="4" t="s">
        <v>53</v>
      </c>
      <c r="K31" s="49"/>
      <c r="L31" s="4" t="s">
        <v>53</v>
      </c>
      <c r="M31" s="49"/>
      <c r="N31" s="49"/>
      <c r="O31" s="4" t="s">
        <v>53</v>
      </c>
      <c r="P31" s="4" t="s">
        <v>53</v>
      </c>
      <c r="R31" s="48"/>
      <c r="T31" s="4" t="s">
        <v>53</v>
      </c>
      <c r="Z31" s="49"/>
      <c r="AA31" s="4" t="s">
        <v>53</v>
      </c>
      <c r="AE31" s="4" t="s">
        <v>53</v>
      </c>
      <c r="AF31" s="4" t="s">
        <v>53</v>
      </c>
      <c r="AJ31" s="48"/>
      <c r="AL31" s="3">
        <f t="shared" si="4"/>
        <v>10</v>
      </c>
      <c r="AM31" s="19">
        <f t="shared" si="5"/>
        <v>70.8</v>
      </c>
    </row>
    <row r="32">
      <c r="A32" s="30">
        <f>A31+5</f>
        <v>45728</v>
      </c>
      <c r="B32" s="4" t="s">
        <v>56</v>
      </c>
      <c r="C32" s="4" t="s">
        <v>59</v>
      </c>
      <c r="D32" s="26">
        <v>8.0</v>
      </c>
      <c r="E32" s="34">
        <v>8.59</v>
      </c>
      <c r="F32" s="4" t="s">
        <v>53</v>
      </c>
      <c r="G32" s="4" t="s">
        <v>53</v>
      </c>
      <c r="H32" s="4" t="s">
        <v>53</v>
      </c>
      <c r="I32" s="4"/>
      <c r="J32" s="4" t="s">
        <v>53</v>
      </c>
      <c r="K32" s="49"/>
      <c r="L32" s="4" t="s">
        <v>53</v>
      </c>
      <c r="M32" s="49"/>
      <c r="N32" s="49"/>
      <c r="O32" s="4" t="s">
        <v>89</v>
      </c>
      <c r="P32" s="4" t="s">
        <v>53</v>
      </c>
      <c r="Q32" s="4" t="s">
        <v>53</v>
      </c>
      <c r="R32" s="49"/>
      <c r="S32" s="4" t="s">
        <v>53</v>
      </c>
      <c r="T32" s="4" t="s">
        <v>53</v>
      </c>
      <c r="U32" s="4" t="s">
        <v>53</v>
      </c>
      <c r="V32" s="4" t="s">
        <v>53</v>
      </c>
      <c r="W32" s="4"/>
      <c r="X32" s="4" t="s">
        <v>53</v>
      </c>
      <c r="Y32" s="4" t="s">
        <v>53</v>
      </c>
      <c r="Z32" s="49"/>
      <c r="AA32" s="4" t="s">
        <v>53</v>
      </c>
      <c r="AB32" s="4" t="s">
        <v>53</v>
      </c>
      <c r="AD32" s="4" t="s">
        <v>53</v>
      </c>
      <c r="AE32" s="4" t="s">
        <v>53</v>
      </c>
      <c r="AF32" s="4" t="s">
        <v>53</v>
      </c>
      <c r="AH32" s="4" t="s">
        <v>53</v>
      </c>
      <c r="AI32" s="4" t="s">
        <v>53</v>
      </c>
      <c r="AJ32" s="49"/>
      <c r="AL32" s="3">
        <f t="shared" si="4"/>
        <v>20</v>
      </c>
      <c r="AM32" s="19">
        <f t="shared" si="5"/>
        <v>171.8</v>
      </c>
    </row>
    <row r="33">
      <c r="A33" s="30">
        <f>A32+2</f>
        <v>45730</v>
      </c>
      <c r="B33" s="4" t="s">
        <v>51</v>
      </c>
      <c r="C33" s="4" t="s">
        <v>52</v>
      </c>
      <c r="D33" s="26">
        <v>7.0</v>
      </c>
      <c r="E33" s="34">
        <v>9.26</v>
      </c>
      <c r="F33" s="4" t="s">
        <v>53</v>
      </c>
      <c r="G33" s="4" t="s">
        <v>53</v>
      </c>
      <c r="H33" s="4" t="s">
        <v>53</v>
      </c>
      <c r="K33" s="49"/>
      <c r="L33" s="4" t="s">
        <v>53</v>
      </c>
      <c r="M33" s="49"/>
      <c r="N33" s="49"/>
      <c r="O33" s="4" t="s">
        <v>53</v>
      </c>
      <c r="P33" s="4" t="s">
        <v>53</v>
      </c>
      <c r="R33" s="48"/>
      <c r="T33" s="4" t="s">
        <v>53</v>
      </c>
      <c r="Z33" s="49"/>
      <c r="AA33" s="4" t="s">
        <v>53</v>
      </c>
      <c r="AE33" s="4" t="s">
        <v>53</v>
      </c>
      <c r="AF33" s="4" t="s">
        <v>53</v>
      </c>
      <c r="AI33" s="4" t="s">
        <v>53</v>
      </c>
      <c r="AJ33" s="48"/>
      <c r="AL33" s="3">
        <f t="shared" si="4"/>
        <v>11</v>
      </c>
      <c r="AM33" s="19">
        <f t="shared" si="5"/>
        <v>101.86</v>
      </c>
    </row>
    <row r="34">
      <c r="A34" s="30">
        <f>A33+5</f>
        <v>45735</v>
      </c>
      <c r="B34" s="4" t="s">
        <v>56</v>
      </c>
      <c r="C34" s="4" t="s">
        <v>62</v>
      </c>
      <c r="D34" s="26">
        <v>12.5</v>
      </c>
      <c r="E34" s="34">
        <v>12.37</v>
      </c>
      <c r="F34" s="4" t="s">
        <v>53</v>
      </c>
      <c r="G34" s="4" t="s">
        <v>53</v>
      </c>
      <c r="H34" s="4" t="s">
        <v>92</v>
      </c>
      <c r="K34" s="49"/>
      <c r="L34" s="4" t="s">
        <v>53</v>
      </c>
      <c r="M34" s="49"/>
      <c r="N34" s="49"/>
      <c r="O34" s="4" t="s">
        <v>53</v>
      </c>
      <c r="P34" s="4" t="s">
        <v>53</v>
      </c>
      <c r="R34" s="48"/>
      <c r="S34" s="4" t="s">
        <v>53</v>
      </c>
      <c r="T34" s="4" t="s">
        <v>53</v>
      </c>
      <c r="U34" s="4" t="s">
        <v>53</v>
      </c>
      <c r="V34" s="4" t="s">
        <v>53</v>
      </c>
      <c r="W34" s="4"/>
      <c r="X34" s="4" t="s">
        <v>53</v>
      </c>
      <c r="Y34" s="4" t="s">
        <v>53</v>
      </c>
      <c r="Z34" s="49"/>
      <c r="AA34" s="4" t="s">
        <v>53</v>
      </c>
      <c r="AB34" s="4" t="s">
        <v>92</v>
      </c>
      <c r="AE34" s="4" t="s">
        <v>53</v>
      </c>
      <c r="AF34" s="4" t="s">
        <v>53</v>
      </c>
      <c r="AH34" s="4" t="s">
        <v>53</v>
      </c>
      <c r="AI34" s="4" t="s">
        <v>92</v>
      </c>
      <c r="AJ34" s="48"/>
      <c r="AL34" s="3">
        <f t="shared" si="4"/>
        <v>15</v>
      </c>
      <c r="AM34" s="19">
        <f t="shared" si="5"/>
        <v>185.55</v>
      </c>
    </row>
    <row r="35">
      <c r="A35" s="30">
        <f>A34+2</f>
        <v>45737</v>
      </c>
      <c r="B35" s="4" t="s">
        <v>60</v>
      </c>
      <c r="C35" s="4" t="s">
        <v>61</v>
      </c>
      <c r="D35" s="26">
        <v>12.5</v>
      </c>
      <c r="E35" s="34">
        <v>12.38</v>
      </c>
      <c r="F35" s="4" t="s">
        <v>53</v>
      </c>
      <c r="G35" s="4" t="s">
        <v>53</v>
      </c>
      <c r="I35" s="4"/>
      <c r="J35" s="4" t="s">
        <v>53</v>
      </c>
      <c r="K35" s="49"/>
      <c r="L35" s="4" t="s">
        <v>53</v>
      </c>
      <c r="M35" s="49"/>
      <c r="N35" s="49"/>
      <c r="O35" s="4" t="s">
        <v>89</v>
      </c>
      <c r="P35" s="4" t="s">
        <v>53</v>
      </c>
      <c r="R35" s="48"/>
      <c r="Z35" s="48"/>
      <c r="AE35" s="4" t="s">
        <v>53</v>
      </c>
      <c r="AI35" s="4" t="s">
        <v>89</v>
      </c>
      <c r="AJ35" s="48"/>
      <c r="AL35" s="3">
        <f t="shared" si="4"/>
        <v>6</v>
      </c>
      <c r="AM35" s="19">
        <f t="shared" si="5"/>
        <v>74.28</v>
      </c>
    </row>
    <row r="36">
      <c r="A36" s="30">
        <f>A35+5</f>
        <v>45742</v>
      </c>
      <c r="B36" s="4" t="s">
        <v>56</v>
      </c>
      <c r="C36" s="4" t="s">
        <v>59</v>
      </c>
      <c r="D36" s="26">
        <v>8.0</v>
      </c>
      <c r="E36" s="27">
        <v>8.26</v>
      </c>
      <c r="F36" s="4" t="s">
        <v>89</v>
      </c>
      <c r="G36" s="4" t="s">
        <v>53</v>
      </c>
      <c r="H36" s="4" t="s">
        <v>53</v>
      </c>
      <c r="I36" s="4"/>
      <c r="J36" s="4" t="s">
        <v>53</v>
      </c>
      <c r="K36" s="49"/>
      <c r="L36" s="4" t="s">
        <v>53</v>
      </c>
      <c r="M36" s="49"/>
      <c r="N36" s="49"/>
      <c r="O36" s="4" t="s">
        <v>53</v>
      </c>
      <c r="P36" s="4" t="s">
        <v>53</v>
      </c>
      <c r="R36" s="48"/>
      <c r="S36" s="4" t="s">
        <v>53</v>
      </c>
      <c r="T36" s="4" t="s">
        <v>53</v>
      </c>
      <c r="V36" s="4" t="s">
        <v>53</v>
      </c>
      <c r="W36" s="4"/>
      <c r="X36" s="4" t="s">
        <v>89</v>
      </c>
      <c r="Z36" s="48"/>
      <c r="AB36" s="4" t="s">
        <v>53</v>
      </c>
      <c r="AD36" s="4" t="s">
        <v>53</v>
      </c>
      <c r="AE36" s="4" t="s">
        <v>53</v>
      </c>
      <c r="AF36" s="4" t="s">
        <v>89</v>
      </c>
      <c r="AI36" s="4" t="s">
        <v>53</v>
      </c>
      <c r="AJ36" s="48"/>
      <c r="AL36" s="3">
        <f t="shared" si="4"/>
        <v>13</v>
      </c>
      <c r="AM36" s="19">
        <f t="shared" si="5"/>
        <v>107.38</v>
      </c>
    </row>
    <row r="37">
      <c r="A37" s="30">
        <f>A36+2</f>
        <v>45744</v>
      </c>
      <c r="B37" s="4" t="s">
        <v>51</v>
      </c>
      <c r="C37" s="4" t="s">
        <v>52</v>
      </c>
      <c r="D37" s="26">
        <v>7.0</v>
      </c>
      <c r="E37" s="50">
        <v>7.0</v>
      </c>
      <c r="G37" s="4" t="s">
        <v>53</v>
      </c>
      <c r="H37" s="4" t="s">
        <v>53</v>
      </c>
      <c r="K37" s="49"/>
      <c r="L37" s="4" t="s">
        <v>53</v>
      </c>
      <c r="M37" s="48"/>
      <c r="N37" s="48"/>
      <c r="P37" s="4" t="s">
        <v>53</v>
      </c>
      <c r="R37" s="48"/>
      <c r="Z37" s="48"/>
      <c r="AE37" s="4" t="s">
        <v>53</v>
      </c>
      <c r="AJ37" s="48"/>
      <c r="AL37" s="3">
        <f t="shared" si="4"/>
        <v>5</v>
      </c>
      <c r="AM37" s="19">
        <f t="shared" si="5"/>
        <v>35</v>
      </c>
    </row>
    <row r="38">
      <c r="A38" s="30">
        <f>A37+5</f>
        <v>45749</v>
      </c>
      <c r="B38" s="4" t="s">
        <v>56</v>
      </c>
      <c r="C38" s="4" t="s">
        <v>57</v>
      </c>
      <c r="D38" s="26">
        <v>8.0</v>
      </c>
      <c r="E38" s="34">
        <v>7.96</v>
      </c>
      <c r="F38" s="4" t="s">
        <v>53</v>
      </c>
      <c r="G38" s="4" t="s">
        <v>53</v>
      </c>
      <c r="H38" s="4" t="s">
        <v>53</v>
      </c>
      <c r="I38" s="4"/>
      <c r="J38" s="4" t="s">
        <v>53</v>
      </c>
      <c r="K38" s="49"/>
      <c r="L38" s="4" t="s">
        <v>53</v>
      </c>
      <c r="M38" s="48"/>
      <c r="N38" s="48"/>
      <c r="P38" s="4" t="s">
        <v>53</v>
      </c>
      <c r="Q38" s="4" t="s">
        <v>53</v>
      </c>
      <c r="R38" s="48"/>
      <c r="S38" s="4" t="s">
        <v>53</v>
      </c>
      <c r="T38" s="4" t="s">
        <v>53</v>
      </c>
      <c r="U38" s="4" t="s">
        <v>53</v>
      </c>
      <c r="W38" s="4" t="s">
        <v>53</v>
      </c>
      <c r="X38" s="4" t="s">
        <v>53</v>
      </c>
      <c r="Z38" s="4" t="s">
        <v>53</v>
      </c>
      <c r="AB38" s="4" t="s">
        <v>53</v>
      </c>
      <c r="AE38" s="4" t="s">
        <v>53</v>
      </c>
      <c r="AF38" s="4" t="s">
        <v>53</v>
      </c>
      <c r="AI38" s="4" t="s">
        <v>53</v>
      </c>
      <c r="AJ38" s="48"/>
      <c r="AK38" s="4">
        <v>2.0</v>
      </c>
      <c r="AL38" s="3">
        <f t="shared" si="4"/>
        <v>19</v>
      </c>
      <c r="AM38" s="19">
        <f t="shared" si="5"/>
        <v>151.24</v>
      </c>
    </row>
    <row r="39">
      <c r="A39" s="30">
        <f>A38+2</f>
        <v>45751</v>
      </c>
      <c r="B39" s="4" t="s">
        <v>51</v>
      </c>
      <c r="C39" s="4" t="s">
        <v>52</v>
      </c>
      <c r="D39" s="26">
        <v>7.0</v>
      </c>
      <c r="E39" s="34">
        <v>7.07</v>
      </c>
      <c r="F39" s="4" t="s">
        <v>53</v>
      </c>
      <c r="G39" s="4" t="s">
        <v>53</v>
      </c>
      <c r="H39" s="4" t="s">
        <v>53</v>
      </c>
      <c r="K39" s="49"/>
      <c r="L39" s="4" t="s">
        <v>53</v>
      </c>
      <c r="M39" s="48"/>
      <c r="N39" s="48"/>
      <c r="R39" s="48"/>
      <c r="AE39" s="4" t="s">
        <v>53</v>
      </c>
      <c r="AJ39" s="48"/>
      <c r="AL39" s="3">
        <f t="shared" si="4"/>
        <v>5</v>
      </c>
      <c r="AM39" s="19">
        <f t="shared" si="5"/>
        <v>35.35</v>
      </c>
    </row>
    <row r="40">
      <c r="A40" s="30">
        <f>A39+5</f>
        <v>45756</v>
      </c>
      <c r="B40" s="4" t="s">
        <v>56</v>
      </c>
      <c r="C40" s="4" t="s">
        <v>59</v>
      </c>
      <c r="D40" s="26">
        <v>8.0</v>
      </c>
      <c r="E40" s="34">
        <v>8.95</v>
      </c>
      <c r="F40" s="4" t="s">
        <v>53</v>
      </c>
      <c r="G40" s="4" t="s">
        <v>53</v>
      </c>
      <c r="H40" s="4" t="s">
        <v>53</v>
      </c>
      <c r="I40" s="4"/>
      <c r="J40" s="4" t="s">
        <v>53</v>
      </c>
      <c r="K40" s="49"/>
      <c r="L40" s="4" t="s">
        <v>53</v>
      </c>
      <c r="M40" s="48"/>
      <c r="N40" s="48"/>
      <c r="P40" s="4" t="s">
        <v>53</v>
      </c>
      <c r="R40" s="4" t="s">
        <v>53</v>
      </c>
      <c r="S40" s="4" t="s">
        <v>53</v>
      </c>
      <c r="T40" s="4" t="s">
        <v>53</v>
      </c>
      <c r="U40" s="4" t="s">
        <v>53</v>
      </c>
      <c r="V40" s="4" t="s">
        <v>53</v>
      </c>
      <c r="X40" s="4" t="s">
        <v>53</v>
      </c>
      <c r="Z40" s="4"/>
      <c r="AA40" s="4" t="s">
        <v>53</v>
      </c>
      <c r="AB40" s="4" t="s">
        <v>53</v>
      </c>
      <c r="AD40" s="4" t="s">
        <v>89</v>
      </c>
      <c r="AE40" s="4" t="s">
        <v>53</v>
      </c>
      <c r="AI40" s="4" t="s">
        <v>53</v>
      </c>
      <c r="AJ40" s="4" t="s">
        <v>53</v>
      </c>
      <c r="AK40" s="4">
        <v>1.0</v>
      </c>
      <c r="AL40" s="3">
        <f t="shared" si="4"/>
        <v>18</v>
      </c>
      <c r="AM40" s="19">
        <f t="shared" si="5"/>
        <v>161.1</v>
      </c>
    </row>
    <row r="41">
      <c r="A41" s="30">
        <f>A40+2</f>
        <v>45758</v>
      </c>
      <c r="B41" s="4" t="s">
        <v>60</v>
      </c>
      <c r="C41" s="4" t="s">
        <v>61</v>
      </c>
      <c r="D41" s="26">
        <v>12.5</v>
      </c>
      <c r="E41" s="27">
        <v>12.32</v>
      </c>
      <c r="F41" s="4" t="s">
        <v>53</v>
      </c>
      <c r="G41" s="4" t="s">
        <v>53</v>
      </c>
      <c r="H41" s="4" t="s">
        <v>53</v>
      </c>
      <c r="K41" s="49"/>
      <c r="L41" s="4" t="s">
        <v>53</v>
      </c>
      <c r="M41" s="49"/>
      <c r="N41" s="49"/>
      <c r="O41" s="4" t="s">
        <v>53</v>
      </c>
      <c r="P41" s="4" t="s">
        <v>53</v>
      </c>
      <c r="V41" s="4" t="s">
        <v>53</v>
      </c>
      <c r="Z41" s="4" t="s">
        <v>53</v>
      </c>
      <c r="AB41" s="4" t="s">
        <v>53</v>
      </c>
      <c r="AE41" s="4" t="s">
        <v>53</v>
      </c>
      <c r="AI41" s="4" t="s">
        <v>89</v>
      </c>
      <c r="AJ41" s="4"/>
      <c r="AL41" s="3">
        <f t="shared" si="4"/>
        <v>10</v>
      </c>
      <c r="AM41" s="19">
        <f t="shared" si="5"/>
        <v>123.2</v>
      </c>
    </row>
    <row r="42">
      <c r="A42" s="30">
        <f>A41+5</f>
        <v>45763</v>
      </c>
      <c r="B42" s="4" t="s">
        <v>56</v>
      </c>
      <c r="C42" s="4" t="s">
        <v>62</v>
      </c>
      <c r="D42" s="26">
        <v>12.5</v>
      </c>
      <c r="E42" s="27">
        <v>12.35</v>
      </c>
      <c r="F42" s="4" t="s">
        <v>53</v>
      </c>
      <c r="G42" s="4" t="s">
        <v>53</v>
      </c>
      <c r="H42" s="4" t="s">
        <v>53</v>
      </c>
      <c r="K42" s="4" t="s">
        <v>53</v>
      </c>
      <c r="L42" s="4" t="s">
        <v>53</v>
      </c>
      <c r="M42" s="49"/>
      <c r="N42" s="49"/>
      <c r="O42" s="4" t="s">
        <v>53</v>
      </c>
      <c r="P42" s="4" t="s">
        <v>53</v>
      </c>
      <c r="R42" s="4" t="s">
        <v>53</v>
      </c>
      <c r="T42" s="4" t="s">
        <v>53</v>
      </c>
      <c r="W42" s="4" t="s">
        <v>53</v>
      </c>
      <c r="Z42" s="4"/>
      <c r="AA42" s="4" t="s">
        <v>53</v>
      </c>
      <c r="AB42" s="4" t="s">
        <v>89</v>
      </c>
      <c r="AE42" s="4" t="s">
        <v>53</v>
      </c>
      <c r="AF42" s="14" t="s">
        <v>53</v>
      </c>
      <c r="AG42" s="4" t="s">
        <v>53</v>
      </c>
      <c r="AI42" s="4" t="s">
        <v>53</v>
      </c>
      <c r="AJ42" s="4" t="s">
        <v>53</v>
      </c>
      <c r="AL42" s="3">
        <f t="shared" si="4"/>
        <v>16</v>
      </c>
      <c r="AM42" s="19">
        <f t="shared" si="5"/>
        <v>197.6</v>
      </c>
    </row>
    <row r="43">
      <c r="A43" s="32">
        <f>A42+2</f>
        <v>45765</v>
      </c>
      <c r="B43" s="4" t="s">
        <v>65</v>
      </c>
      <c r="C43" s="4" t="s">
        <v>66</v>
      </c>
      <c r="D43" s="26">
        <v>15.0</v>
      </c>
      <c r="E43" s="27">
        <v>14.5</v>
      </c>
      <c r="F43" s="4" t="s">
        <v>53</v>
      </c>
      <c r="G43" s="4" t="s">
        <v>53</v>
      </c>
      <c r="H43" s="4" t="s">
        <v>53</v>
      </c>
      <c r="K43" s="4" t="s">
        <v>53</v>
      </c>
      <c r="L43" s="4" t="s">
        <v>53</v>
      </c>
      <c r="M43" s="48"/>
      <c r="N43" s="48"/>
      <c r="P43" s="4" t="s">
        <v>53</v>
      </c>
      <c r="T43" s="4" t="s">
        <v>53</v>
      </c>
      <c r="X43" s="4" t="s">
        <v>53</v>
      </c>
      <c r="Z43" s="4"/>
      <c r="AA43" s="4" t="s">
        <v>53</v>
      </c>
      <c r="AE43" s="4" t="s">
        <v>53</v>
      </c>
      <c r="AF43" s="4" t="s">
        <v>53</v>
      </c>
      <c r="AL43" s="3">
        <f t="shared" si="4"/>
        <v>11</v>
      </c>
      <c r="AM43" s="19">
        <f t="shared" si="5"/>
        <v>159.5</v>
      </c>
    </row>
    <row r="44">
      <c r="A44" s="30">
        <f>A43+5</f>
        <v>45770</v>
      </c>
      <c r="B44" s="4" t="s">
        <v>56</v>
      </c>
      <c r="C44" s="4" t="s">
        <v>59</v>
      </c>
      <c r="D44" s="26">
        <v>8.0</v>
      </c>
      <c r="E44" s="27">
        <v>8.98</v>
      </c>
      <c r="F44" s="4" t="s">
        <v>53</v>
      </c>
      <c r="H44" s="4" t="s">
        <v>53</v>
      </c>
      <c r="K44" s="4"/>
      <c r="L44" s="4" t="s">
        <v>53</v>
      </c>
      <c r="M44" s="49"/>
      <c r="N44" s="49"/>
      <c r="O44" s="4" t="s">
        <v>53</v>
      </c>
      <c r="P44" s="4" t="s">
        <v>53</v>
      </c>
      <c r="Q44" s="4" t="s">
        <v>53</v>
      </c>
      <c r="R44" s="4" t="s">
        <v>53</v>
      </c>
      <c r="S44" s="4" t="s">
        <v>53</v>
      </c>
      <c r="T44" s="4" t="s">
        <v>53</v>
      </c>
      <c r="U44" s="4" t="s">
        <v>53</v>
      </c>
      <c r="V44" s="4" t="s">
        <v>53</v>
      </c>
      <c r="W44" s="4" t="s">
        <v>53</v>
      </c>
      <c r="X44" s="4" t="s">
        <v>53</v>
      </c>
      <c r="AB44" s="4" t="s">
        <v>53</v>
      </c>
      <c r="AE44" s="4" t="s">
        <v>53</v>
      </c>
      <c r="AF44" s="4" t="s">
        <v>53</v>
      </c>
      <c r="AI44" s="4" t="s">
        <v>53</v>
      </c>
      <c r="AJ44" s="4" t="s">
        <v>53</v>
      </c>
      <c r="AK44" s="4">
        <v>1.0</v>
      </c>
      <c r="AL44" s="3">
        <f t="shared" si="4"/>
        <v>19</v>
      </c>
      <c r="AM44" s="19">
        <f t="shared" si="5"/>
        <v>170.62</v>
      </c>
    </row>
    <row r="45">
      <c r="A45" s="39">
        <f>A44+2</f>
        <v>45772</v>
      </c>
      <c r="B45" s="4" t="s">
        <v>56</v>
      </c>
      <c r="C45" s="4" t="s">
        <v>94</v>
      </c>
      <c r="D45" s="26">
        <v>42.2</v>
      </c>
      <c r="E45" s="27">
        <v>42.33</v>
      </c>
      <c r="F45" s="4" t="s">
        <v>53</v>
      </c>
      <c r="K45" s="4"/>
      <c r="L45" s="4" t="s">
        <v>53</v>
      </c>
      <c r="M45" s="48"/>
      <c r="N45" s="48"/>
      <c r="P45" s="4" t="s">
        <v>53</v>
      </c>
      <c r="AE45" s="4" t="s">
        <v>53</v>
      </c>
      <c r="AL45" s="3">
        <f t="shared" si="4"/>
        <v>4</v>
      </c>
      <c r="AM45" s="19">
        <f t="shared" si="5"/>
        <v>169.32</v>
      </c>
    </row>
    <row r="46">
      <c r="A46" s="39">
        <f>A44+2</f>
        <v>45772</v>
      </c>
      <c r="B46" s="4" t="s">
        <v>56</v>
      </c>
      <c r="C46" s="4" t="s">
        <v>95</v>
      </c>
      <c r="D46" s="26">
        <v>21.1</v>
      </c>
      <c r="E46" s="27">
        <v>21.1</v>
      </c>
      <c r="M46" s="49"/>
      <c r="N46" s="49"/>
      <c r="O46" s="4" t="s">
        <v>53</v>
      </c>
      <c r="X46" s="4" t="s">
        <v>53</v>
      </c>
      <c r="AF46" s="4" t="s">
        <v>53</v>
      </c>
      <c r="AL46" s="3">
        <f t="shared" si="4"/>
        <v>3</v>
      </c>
      <c r="AM46" s="19">
        <f t="shared" si="5"/>
        <v>63.3</v>
      </c>
    </row>
    <row r="47">
      <c r="A47" s="30">
        <f>A45+5</f>
        <v>45777</v>
      </c>
      <c r="B47" s="4" t="s">
        <v>56</v>
      </c>
      <c r="C47" s="4" t="s">
        <v>57</v>
      </c>
      <c r="D47" s="26">
        <v>8.0</v>
      </c>
      <c r="E47" s="27">
        <v>8.02</v>
      </c>
      <c r="F47" s="4" t="s">
        <v>53</v>
      </c>
      <c r="G47" s="4" t="s">
        <v>53</v>
      </c>
      <c r="K47" s="4" t="s">
        <v>53</v>
      </c>
      <c r="M47" s="4" t="s">
        <v>53</v>
      </c>
      <c r="N47" s="49"/>
      <c r="O47" s="4" t="s">
        <v>53</v>
      </c>
      <c r="R47" s="4" t="s">
        <v>53</v>
      </c>
      <c r="S47" s="4" t="s">
        <v>53</v>
      </c>
      <c r="T47" s="4" t="s">
        <v>53</v>
      </c>
      <c r="U47" s="4" t="s">
        <v>53</v>
      </c>
      <c r="V47" s="4" t="s">
        <v>53</v>
      </c>
      <c r="W47" s="4" t="s">
        <v>53</v>
      </c>
      <c r="X47" s="4" t="s">
        <v>53</v>
      </c>
      <c r="AB47" s="4" t="s">
        <v>53</v>
      </c>
      <c r="AE47" s="4" t="s">
        <v>53</v>
      </c>
      <c r="AF47" s="4" t="s">
        <v>53</v>
      </c>
      <c r="AI47" s="4" t="s">
        <v>53</v>
      </c>
      <c r="AJ47" s="4"/>
      <c r="AK47" s="4">
        <v>1.0</v>
      </c>
      <c r="AL47" s="3">
        <f t="shared" si="4"/>
        <v>17</v>
      </c>
      <c r="AM47" s="19">
        <f t="shared" si="5"/>
        <v>136.34</v>
      </c>
    </row>
    <row r="48">
      <c r="A48" s="30">
        <f>A47+2</f>
        <v>45779</v>
      </c>
      <c r="B48" s="4" t="s">
        <v>51</v>
      </c>
      <c r="C48" s="4" t="s">
        <v>52</v>
      </c>
      <c r="D48" s="26">
        <v>7.0</v>
      </c>
      <c r="E48" s="27">
        <v>7.03</v>
      </c>
      <c r="F48" s="4" t="s">
        <v>53</v>
      </c>
      <c r="N48" s="49"/>
      <c r="P48" s="4" t="s">
        <v>53</v>
      </c>
      <c r="AE48" s="4" t="s">
        <v>53</v>
      </c>
      <c r="AL48" s="3">
        <f t="shared" si="4"/>
        <v>3</v>
      </c>
      <c r="AM48" s="19">
        <f t="shared" si="5"/>
        <v>21.09</v>
      </c>
    </row>
    <row r="49">
      <c r="A49" s="30">
        <f>A48+5</f>
        <v>45784</v>
      </c>
      <c r="B49" s="4" t="s">
        <v>56</v>
      </c>
      <c r="C49" s="4" t="s">
        <v>59</v>
      </c>
      <c r="D49" s="26">
        <v>8.0</v>
      </c>
      <c r="E49" s="27">
        <v>8.01</v>
      </c>
      <c r="F49" s="4" t="s">
        <v>53</v>
      </c>
      <c r="G49" s="4" t="s">
        <v>53</v>
      </c>
      <c r="M49" s="4"/>
      <c r="N49" s="49"/>
      <c r="O49" s="4" t="s">
        <v>89</v>
      </c>
      <c r="P49" s="4" t="s">
        <v>53</v>
      </c>
      <c r="Q49" s="4" t="s">
        <v>53</v>
      </c>
      <c r="R49" s="4"/>
      <c r="S49" s="4" t="s">
        <v>53</v>
      </c>
      <c r="U49" s="4" t="s">
        <v>89</v>
      </c>
      <c r="V49" s="4" t="s">
        <v>53</v>
      </c>
      <c r="W49" s="4" t="s">
        <v>89</v>
      </c>
      <c r="Z49" s="4" t="s">
        <v>53</v>
      </c>
      <c r="AB49" s="4" t="s">
        <v>53</v>
      </c>
      <c r="AE49" s="4" t="s">
        <v>53</v>
      </c>
      <c r="AI49" s="4" t="s">
        <v>53</v>
      </c>
      <c r="AJ49" s="4" t="s">
        <v>53</v>
      </c>
      <c r="AK49" s="4">
        <v>1.0</v>
      </c>
      <c r="AL49" s="3">
        <f t="shared" si="4"/>
        <v>12</v>
      </c>
      <c r="AM49" s="19">
        <f t="shared" si="5"/>
        <v>96.12</v>
      </c>
    </row>
    <row r="50">
      <c r="A50" s="30">
        <f>A49+2</f>
        <v>45786</v>
      </c>
      <c r="B50" s="4" t="s">
        <v>60</v>
      </c>
      <c r="C50" s="4" t="s">
        <v>61</v>
      </c>
      <c r="D50" s="26">
        <v>12.5</v>
      </c>
      <c r="E50" s="27">
        <v>12.3</v>
      </c>
      <c r="F50" s="4" t="s">
        <v>53</v>
      </c>
      <c r="G50" s="4" t="s">
        <v>53</v>
      </c>
      <c r="K50" s="4"/>
      <c r="L50" s="4" t="s">
        <v>53</v>
      </c>
      <c r="N50" s="49"/>
      <c r="T50" s="4" t="s">
        <v>53</v>
      </c>
      <c r="V50" s="4" t="s">
        <v>53</v>
      </c>
      <c r="AB50" s="4" t="s">
        <v>53</v>
      </c>
      <c r="AE50" s="4" t="s">
        <v>53</v>
      </c>
      <c r="AF50" s="4" t="s">
        <v>53</v>
      </c>
      <c r="AL50" s="3">
        <f t="shared" si="4"/>
        <v>8</v>
      </c>
      <c r="AM50" s="19">
        <f t="shared" si="5"/>
        <v>98.4</v>
      </c>
    </row>
    <row r="51">
      <c r="A51" s="30">
        <f>A50+5</f>
        <v>45791</v>
      </c>
      <c r="B51" s="4" t="s">
        <v>56</v>
      </c>
      <c r="C51" s="4" t="s">
        <v>62</v>
      </c>
      <c r="D51" s="26">
        <v>12.5</v>
      </c>
      <c r="E51" s="27">
        <v>12.36</v>
      </c>
      <c r="F51" s="4" t="s">
        <v>53</v>
      </c>
      <c r="G51" s="4" t="s">
        <v>53</v>
      </c>
      <c r="H51" s="4" t="s">
        <v>53</v>
      </c>
      <c r="I51" s="4"/>
      <c r="J51" s="4" t="s">
        <v>53</v>
      </c>
      <c r="K51" s="4" t="s">
        <v>53</v>
      </c>
      <c r="L51" s="4" t="s">
        <v>53</v>
      </c>
      <c r="M51" s="4"/>
      <c r="N51" s="49"/>
      <c r="O51" s="4" t="s">
        <v>53</v>
      </c>
      <c r="P51" s="4" t="s">
        <v>53</v>
      </c>
      <c r="T51" s="4" t="s">
        <v>53</v>
      </c>
      <c r="U51" s="4" t="s">
        <v>89</v>
      </c>
      <c r="V51" s="4" t="s">
        <v>89</v>
      </c>
      <c r="W51" s="4" t="s">
        <v>53</v>
      </c>
      <c r="AB51" s="4" t="s">
        <v>89</v>
      </c>
      <c r="AE51" s="4" t="s">
        <v>53</v>
      </c>
      <c r="AF51" s="4" t="s">
        <v>53</v>
      </c>
      <c r="AI51" s="4" t="s">
        <v>53</v>
      </c>
      <c r="AJ51" s="4" t="s">
        <v>53</v>
      </c>
      <c r="AL51" s="3">
        <f t="shared" si="4"/>
        <v>14</v>
      </c>
      <c r="AM51" s="19">
        <f t="shared" si="5"/>
        <v>173.04</v>
      </c>
    </row>
    <row r="52">
      <c r="A52" s="30">
        <f>A51+2</f>
        <v>45793</v>
      </c>
      <c r="B52" s="4" t="s">
        <v>51</v>
      </c>
      <c r="C52" s="4" t="s">
        <v>52</v>
      </c>
      <c r="D52" s="26">
        <v>7.0</v>
      </c>
      <c r="E52" s="27">
        <v>7.07</v>
      </c>
      <c r="F52" s="4" t="s">
        <v>53</v>
      </c>
      <c r="G52" s="4" t="s">
        <v>53</v>
      </c>
      <c r="H52" s="4" t="s">
        <v>53</v>
      </c>
      <c r="K52" s="4"/>
      <c r="L52" s="4" t="s">
        <v>53</v>
      </c>
      <c r="N52" s="49"/>
      <c r="P52" s="4" t="s">
        <v>53</v>
      </c>
      <c r="AE52" s="4" t="s">
        <v>53</v>
      </c>
      <c r="AL52" s="3">
        <f t="shared" si="4"/>
        <v>6</v>
      </c>
      <c r="AM52" s="19">
        <f t="shared" si="5"/>
        <v>42.42</v>
      </c>
    </row>
    <row r="53">
      <c r="A53" s="30">
        <f>A52+5</f>
        <v>45798</v>
      </c>
      <c r="B53" s="4" t="s">
        <v>56</v>
      </c>
      <c r="C53" s="4" t="s">
        <v>59</v>
      </c>
      <c r="D53" s="26">
        <v>8.0</v>
      </c>
      <c r="E53" s="27">
        <v>8.61</v>
      </c>
      <c r="F53" s="4" t="s">
        <v>53</v>
      </c>
      <c r="G53" s="4" t="s">
        <v>53</v>
      </c>
      <c r="H53" s="4" t="s">
        <v>53</v>
      </c>
      <c r="K53" s="4" t="s">
        <v>53</v>
      </c>
      <c r="L53" s="4" t="s">
        <v>53</v>
      </c>
      <c r="M53" s="4"/>
      <c r="N53" s="4" t="s">
        <v>53</v>
      </c>
      <c r="O53" s="4" t="s">
        <v>53</v>
      </c>
      <c r="P53" s="4" t="s">
        <v>53</v>
      </c>
      <c r="S53" s="4" t="s">
        <v>53</v>
      </c>
      <c r="T53" s="4" t="s">
        <v>53</v>
      </c>
      <c r="V53" s="4" t="s">
        <v>53</v>
      </c>
      <c r="W53" s="4" t="s">
        <v>53</v>
      </c>
      <c r="AE53" s="4" t="s">
        <v>53</v>
      </c>
      <c r="AF53" s="4" t="s">
        <v>89</v>
      </c>
      <c r="AI53" s="4" t="s">
        <v>53</v>
      </c>
      <c r="AJ53" s="4"/>
      <c r="AK53" s="4">
        <v>1.0</v>
      </c>
      <c r="AL53" s="3">
        <f t="shared" si="4"/>
        <v>15</v>
      </c>
      <c r="AM53" s="19">
        <f t="shared" si="5"/>
        <v>129.15</v>
      </c>
    </row>
    <row r="54">
      <c r="A54" s="30">
        <f>A53+2</f>
        <v>45800</v>
      </c>
      <c r="B54" s="4" t="s">
        <v>51</v>
      </c>
      <c r="C54" s="4" t="s">
        <v>52</v>
      </c>
      <c r="D54" s="26">
        <v>7.0</v>
      </c>
      <c r="E54" s="27">
        <v>7.13</v>
      </c>
      <c r="F54" s="4" t="s">
        <v>53</v>
      </c>
      <c r="H54" s="4" t="s">
        <v>53</v>
      </c>
      <c r="K54" s="4"/>
      <c r="L54" s="4" t="s">
        <v>53</v>
      </c>
      <c r="P54" s="4" t="s">
        <v>53</v>
      </c>
      <c r="AE54" s="4" t="s">
        <v>53</v>
      </c>
      <c r="AL54" s="3">
        <f t="shared" si="4"/>
        <v>5</v>
      </c>
      <c r="AM54" s="19">
        <f t="shared" si="5"/>
        <v>35.65</v>
      </c>
    </row>
    <row r="55">
      <c r="A55" s="30">
        <f>A54+5</f>
        <v>45805</v>
      </c>
      <c r="B55" s="4" t="s">
        <v>56</v>
      </c>
      <c r="C55" s="4" t="s">
        <v>57</v>
      </c>
      <c r="D55" s="26">
        <v>8.0</v>
      </c>
      <c r="E55" s="27">
        <v>7.94</v>
      </c>
      <c r="F55" s="4" t="s">
        <v>53</v>
      </c>
      <c r="G55" s="4" t="s">
        <v>53</v>
      </c>
      <c r="H55" s="4" t="s">
        <v>53</v>
      </c>
      <c r="K55" s="4"/>
      <c r="L55" s="4" t="s">
        <v>53</v>
      </c>
      <c r="M55" s="4" t="s">
        <v>53</v>
      </c>
      <c r="N55" s="4"/>
      <c r="P55" s="4" t="s">
        <v>53</v>
      </c>
      <c r="R55" s="4" t="s">
        <v>53</v>
      </c>
      <c r="S55" s="4" t="s">
        <v>53</v>
      </c>
      <c r="T55" s="4" t="s">
        <v>53</v>
      </c>
      <c r="V55" s="4" t="s">
        <v>53</v>
      </c>
      <c r="X55" s="4" t="s">
        <v>53</v>
      </c>
      <c r="AB55" s="4" t="s">
        <v>53</v>
      </c>
      <c r="AE55" s="4" t="s">
        <v>53</v>
      </c>
      <c r="AF55" s="4" t="s">
        <v>89</v>
      </c>
      <c r="AJ55" s="4" t="s">
        <v>53</v>
      </c>
      <c r="AK55" s="4">
        <v>2.0</v>
      </c>
      <c r="AL55" s="3">
        <f t="shared" si="4"/>
        <v>16</v>
      </c>
      <c r="AM55" s="19">
        <f t="shared" si="5"/>
        <v>127.04</v>
      </c>
    </row>
    <row r="56">
      <c r="A56" s="30">
        <f>A55+2</f>
        <v>45807</v>
      </c>
      <c r="B56" s="4" t="s">
        <v>51</v>
      </c>
      <c r="C56" s="4" t="s">
        <v>70</v>
      </c>
      <c r="D56" s="26">
        <v>10.0</v>
      </c>
      <c r="E56" s="27">
        <v>10.28</v>
      </c>
      <c r="F56" s="4" t="s">
        <v>53</v>
      </c>
      <c r="G56" s="4" t="s">
        <v>53</v>
      </c>
      <c r="H56" s="4" t="s">
        <v>53</v>
      </c>
      <c r="K56" s="4"/>
      <c r="L56" s="4" t="s">
        <v>53</v>
      </c>
      <c r="P56" s="4" t="s">
        <v>53</v>
      </c>
      <c r="AE56" s="4" t="s">
        <v>53</v>
      </c>
      <c r="AF56" s="4" t="s">
        <v>53</v>
      </c>
      <c r="AL56" s="3">
        <f t="shared" si="4"/>
        <v>7</v>
      </c>
      <c r="AM56" s="19">
        <f t="shared" si="5"/>
        <v>71.96</v>
      </c>
    </row>
    <row r="57">
      <c r="A57" s="30">
        <f>A56+5</f>
        <v>45812</v>
      </c>
      <c r="B57" s="4" t="s">
        <v>56</v>
      </c>
      <c r="C57" s="4" t="s">
        <v>59</v>
      </c>
      <c r="D57" s="26">
        <v>8.0</v>
      </c>
      <c r="E57" s="27">
        <v>8.6</v>
      </c>
      <c r="H57" s="4" t="s">
        <v>53</v>
      </c>
      <c r="K57" s="4" t="s">
        <v>53</v>
      </c>
      <c r="L57" s="4" t="s">
        <v>53</v>
      </c>
      <c r="M57" s="4" t="s">
        <v>53</v>
      </c>
      <c r="N57" s="4"/>
      <c r="O57" s="4" t="s">
        <v>53</v>
      </c>
      <c r="P57" s="4" t="s">
        <v>53</v>
      </c>
      <c r="S57" s="4" t="s">
        <v>89</v>
      </c>
      <c r="T57" s="4" t="s">
        <v>53</v>
      </c>
      <c r="V57" s="4" t="s">
        <v>53</v>
      </c>
      <c r="Z57" s="4" t="s">
        <v>53</v>
      </c>
      <c r="AB57" s="4" t="s">
        <v>89</v>
      </c>
      <c r="AE57" s="4" t="s">
        <v>53</v>
      </c>
      <c r="AI57" s="4" t="s">
        <v>89</v>
      </c>
      <c r="AJ57" s="4"/>
      <c r="AL57" s="3">
        <f t="shared" si="4"/>
        <v>10</v>
      </c>
      <c r="AM57" s="19">
        <f t="shared" si="5"/>
        <v>86</v>
      </c>
    </row>
    <row r="58">
      <c r="A58" s="30">
        <f>A57+2</f>
        <v>45814</v>
      </c>
      <c r="B58" s="4" t="s">
        <v>60</v>
      </c>
      <c r="C58" s="4" t="s">
        <v>61</v>
      </c>
      <c r="D58" s="26">
        <v>12.5</v>
      </c>
      <c r="E58" s="27">
        <v>12.37</v>
      </c>
      <c r="F58" s="4" t="s">
        <v>53</v>
      </c>
      <c r="H58" s="4" t="s">
        <v>53</v>
      </c>
      <c r="K58" s="4"/>
      <c r="L58" s="4" t="s">
        <v>53</v>
      </c>
      <c r="P58" s="4" t="s">
        <v>53</v>
      </c>
      <c r="T58" s="4" t="s">
        <v>89</v>
      </c>
      <c r="V58" s="4" t="s">
        <v>53</v>
      </c>
      <c r="AE58" s="4" t="s">
        <v>53</v>
      </c>
      <c r="AL58" s="3">
        <f t="shared" si="4"/>
        <v>6</v>
      </c>
      <c r="AM58" s="19">
        <f t="shared" si="5"/>
        <v>74.22</v>
      </c>
    </row>
    <row r="59">
      <c r="A59" s="30">
        <f>A58+5</f>
        <v>45819</v>
      </c>
      <c r="B59" s="4" t="s">
        <v>56</v>
      </c>
      <c r="C59" s="4" t="s">
        <v>62</v>
      </c>
      <c r="D59" s="26">
        <v>12.5</v>
      </c>
      <c r="E59" s="27">
        <v>12.3</v>
      </c>
      <c r="F59" s="4" t="s">
        <v>53</v>
      </c>
      <c r="G59" s="4" t="s">
        <v>53</v>
      </c>
      <c r="H59" s="4" t="s">
        <v>53</v>
      </c>
      <c r="K59" s="4" t="s">
        <v>53</v>
      </c>
      <c r="L59" s="4" t="s">
        <v>53</v>
      </c>
      <c r="M59" s="4" t="s">
        <v>53</v>
      </c>
      <c r="N59" s="4"/>
      <c r="O59" s="4" t="s">
        <v>53</v>
      </c>
      <c r="P59" s="4" t="s">
        <v>53</v>
      </c>
      <c r="R59" s="4" t="s">
        <v>53</v>
      </c>
      <c r="T59" s="4" t="s">
        <v>53</v>
      </c>
      <c r="W59" s="4" t="s">
        <v>53</v>
      </c>
      <c r="X59" s="4" t="s">
        <v>53</v>
      </c>
      <c r="Z59" s="4" t="s">
        <v>53</v>
      </c>
      <c r="AA59" s="4" t="s">
        <v>53</v>
      </c>
      <c r="AB59" s="4" t="s">
        <v>53</v>
      </c>
      <c r="AE59" s="4" t="s">
        <v>53</v>
      </c>
      <c r="AI59" s="4" t="s">
        <v>53</v>
      </c>
      <c r="AJ59" s="4" t="s">
        <v>53</v>
      </c>
      <c r="AL59" s="3">
        <f t="shared" si="4"/>
        <v>18</v>
      </c>
      <c r="AM59" s="19">
        <f t="shared" si="5"/>
        <v>221.4</v>
      </c>
    </row>
    <row r="60">
      <c r="A60" s="28">
        <f>A59+2</f>
        <v>45821</v>
      </c>
      <c r="B60" s="5" t="s">
        <v>51</v>
      </c>
      <c r="C60" s="5" t="s">
        <v>70</v>
      </c>
      <c r="D60" s="33">
        <v>10.0</v>
      </c>
      <c r="E60" s="27">
        <v>10.35</v>
      </c>
      <c r="F60" s="6"/>
      <c r="G60" s="5" t="s">
        <v>53</v>
      </c>
      <c r="H60" s="5" t="s">
        <v>53</v>
      </c>
      <c r="I60" s="6"/>
      <c r="J60" s="6"/>
      <c r="K60" s="5"/>
      <c r="L60" s="5" t="s">
        <v>53</v>
      </c>
      <c r="M60" s="6"/>
      <c r="N60" s="6"/>
      <c r="O60" s="6"/>
      <c r="P60" s="5" t="s">
        <v>53</v>
      </c>
      <c r="Q60" s="6"/>
      <c r="R60" s="6"/>
      <c r="S60" s="6"/>
      <c r="T60" s="5" t="s">
        <v>89</v>
      </c>
      <c r="U60" s="6"/>
      <c r="V60" s="6"/>
      <c r="W60" s="6"/>
      <c r="X60" s="6"/>
      <c r="Y60" s="6"/>
      <c r="Z60" s="5"/>
      <c r="AA60" s="5" t="s">
        <v>53</v>
      </c>
      <c r="AB60" s="5" t="s">
        <v>89</v>
      </c>
      <c r="AC60" s="6"/>
      <c r="AD60" s="6"/>
      <c r="AE60" s="5" t="s">
        <v>53</v>
      </c>
      <c r="AF60" s="5" t="s">
        <v>53</v>
      </c>
      <c r="AG60" s="6"/>
      <c r="AH60" s="6"/>
      <c r="AI60" s="6"/>
      <c r="AJ60" s="6"/>
      <c r="AK60" s="6"/>
      <c r="AL60" s="3">
        <f t="shared" si="4"/>
        <v>7</v>
      </c>
      <c r="AM60" s="19">
        <f t="shared" si="5"/>
        <v>72.45</v>
      </c>
      <c r="AN60" s="6"/>
    </row>
    <row r="61">
      <c r="A61" s="30">
        <f>A60+5</f>
        <v>45826</v>
      </c>
      <c r="B61" s="4" t="s">
        <v>56</v>
      </c>
      <c r="C61" s="4" t="s">
        <v>59</v>
      </c>
      <c r="D61" s="26">
        <v>8.0</v>
      </c>
      <c r="E61" s="27">
        <v>8.35</v>
      </c>
      <c r="F61" s="4" t="s">
        <v>53</v>
      </c>
      <c r="H61" s="4" t="s">
        <v>53</v>
      </c>
      <c r="K61" s="4"/>
      <c r="L61" s="4" t="s">
        <v>53</v>
      </c>
      <c r="T61" s="4" t="s">
        <v>53</v>
      </c>
      <c r="V61" s="4" t="s">
        <v>53</v>
      </c>
      <c r="Z61" s="4"/>
      <c r="AA61" s="4" t="s">
        <v>53</v>
      </c>
      <c r="AB61" s="4" t="s">
        <v>53</v>
      </c>
      <c r="AE61" s="4" t="s">
        <v>53</v>
      </c>
      <c r="AF61" s="4" t="s">
        <v>53</v>
      </c>
      <c r="AI61" s="4" t="s">
        <v>53</v>
      </c>
      <c r="AJ61" s="4"/>
      <c r="AL61" s="3">
        <f t="shared" si="4"/>
        <v>10</v>
      </c>
      <c r="AM61" s="19">
        <f t="shared" si="5"/>
        <v>83.5</v>
      </c>
    </row>
    <row r="62">
      <c r="A62" s="30">
        <f>A61+2</f>
        <v>45828</v>
      </c>
      <c r="B62" s="4" t="s">
        <v>60</v>
      </c>
      <c r="C62" s="4" t="s">
        <v>61</v>
      </c>
      <c r="D62" s="26">
        <v>12.5</v>
      </c>
      <c r="E62" s="27">
        <v>12.41</v>
      </c>
      <c r="F62" s="4" t="s">
        <v>53</v>
      </c>
      <c r="G62" s="4" t="s">
        <v>53</v>
      </c>
      <c r="H62" s="4" t="s">
        <v>53</v>
      </c>
      <c r="K62" s="4"/>
      <c r="L62" s="4" t="s">
        <v>53</v>
      </c>
      <c r="T62" s="4" t="s">
        <v>53</v>
      </c>
      <c r="AE62" s="4" t="s">
        <v>53</v>
      </c>
      <c r="AF62" s="4" t="s">
        <v>53</v>
      </c>
      <c r="AL62" s="3">
        <f t="shared" si="4"/>
        <v>7</v>
      </c>
      <c r="AM62" s="19">
        <f t="shared" si="5"/>
        <v>86.87</v>
      </c>
    </row>
    <row r="63">
      <c r="A63" s="30">
        <f>A62+5</f>
        <v>45833</v>
      </c>
      <c r="B63" s="4" t="s">
        <v>56</v>
      </c>
      <c r="C63" s="15" t="s">
        <v>71</v>
      </c>
      <c r="D63" s="26">
        <v>8.0</v>
      </c>
      <c r="E63" s="27">
        <v>7.7</v>
      </c>
      <c r="F63" s="4" t="s">
        <v>53</v>
      </c>
      <c r="G63" s="4" t="s">
        <v>53</v>
      </c>
      <c r="H63" s="4" t="s">
        <v>53</v>
      </c>
      <c r="K63" s="4" t="s">
        <v>53</v>
      </c>
      <c r="L63" s="4" t="s">
        <v>53</v>
      </c>
      <c r="M63" s="4" t="s">
        <v>53</v>
      </c>
      <c r="N63" s="4" t="s">
        <v>53</v>
      </c>
      <c r="P63" s="4" t="s">
        <v>53</v>
      </c>
      <c r="Q63" s="4" t="s">
        <v>53</v>
      </c>
      <c r="R63" s="4"/>
      <c r="S63" s="51" t="s">
        <v>53</v>
      </c>
      <c r="T63" s="4" t="s">
        <v>53</v>
      </c>
      <c r="U63" s="4" t="s">
        <v>89</v>
      </c>
      <c r="V63" s="4" t="s">
        <v>53</v>
      </c>
      <c r="W63" s="4" t="s">
        <v>53</v>
      </c>
      <c r="AB63" s="4" t="s">
        <v>53</v>
      </c>
      <c r="AE63" s="4" t="s">
        <v>53</v>
      </c>
      <c r="AF63" s="4" t="s">
        <v>53</v>
      </c>
      <c r="AJ63" s="4" t="s">
        <v>53</v>
      </c>
      <c r="AK63" s="4">
        <v>1.0</v>
      </c>
      <c r="AL63" s="3">
        <f t="shared" si="4"/>
        <v>18</v>
      </c>
      <c r="AM63" s="19">
        <f t="shared" si="5"/>
        <v>138.6</v>
      </c>
    </row>
    <row r="64">
      <c r="A64" s="30">
        <f>A63+2</f>
        <v>45835</v>
      </c>
      <c r="B64" s="4" t="s">
        <v>51</v>
      </c>
      <c r="C64" s="4" t="s">
        <v>70</v>
      </c>
      <c r="D64" s="26">
        <v>10.0</v>
      </c>
      <c r="E64" s="27">
        <v>10.31</v>
      </c>
      <c r="F64" s="4" t="s">
        <v>53</v>
      </c>
      <c r="G64" s="4" t="s">
        <v>53</v>
      </c>
      <c r="H64" s="4" t="s">
        <v>53</v>
      </c>
      <c r="K64" s="4"/>
      <c r="L64" s="4" t="s">
        <v>53</v>
      </c>
      <c r="P64" s="4" t="s">
        <v>53</v>
      </c>
      <c r="AE64" s="4" t="s">
        <v>53</v>
      </c>
      <c r="AL64" s="3">
        <f t="shared" si="4"/>
        <v>6</v>
      </c>
      <c r="AM64" s="19">
        <f t="shared" si="5"/>
        <v>61.86</v>
      </c>
    </row>
    <row r="65">
      <c r="A65" s="30">
        <f>A64+5</f>
        <v>45840</v>
      </c>
      <c r="B65" s="4" t="s">
        <v>56</v>
      </c>
      <c r="C65" s="4" t="s">
        <v>59</v>
      </c>
      <c r="D65" s="26">
        <v>8.0</v>
      </c>
      <c r="E65" s="27">
        <v>8.25</v>
      </c>
      <c r="F65" s="4" t="s">
        <v>53</v>
      </c>
      <c r="G65" s="4" t="s">
        <v>53</v>
      </c>
      <c r="H65" s="4" t="s">
        <v>53</v>
      </c>
      <c r="K65" s="4" t="s">
        <v>53</v>
      </c>
      <c r="L65" s="4" t="s">
        <v>53</v>
      </c>
      <c r="O65" s="4" t="s">
        <v>53</v>
      </c>
      <c r="P65" s="4" t="s">
        <v>53</v>
      </c>
      <c r="S65" s="4" t="s">
        <v>53</v>
      </c>
      <c r="T65" s="4" t="s">
        <v>53</v>
      </c>
      <c r="V65" s="4" t="s">
        <v>53</v>
      </c>
      <c r="W65" s="4" t="s">
        <v>53</v>
      </c>
      <c r="X65" s="4" t="s">
        <v>53</v>
      </c>
      <c r="Z65" s="4" t="s">
        <v>53</v>
      </c>
      <c r="AB65" s="4" t="s">
        <v>53</v>
      </c>
      <c r="AE65" s="4" t="s">
        <v>53</v>
      </c>
      <c r="AI65" s="4" t="s">
        <v>53</v>
      </c>
      <c r="AJ65" s="4" t="s">
        <v>53</v>
      </c>
      <c r="AL65" s="3">
        <f t="shared" si="4"/>
        <v>17</v>
      </c>
      <c r="AM65" s="19">
        <f t="shared" si="5"/>
        <v>140.25</v>
      </c>
    </row>
    <row r="66">
      <c r="A66" s="30">
        <f>A65+2</f>
        <v>45842</v>
      </c>
      <c r="B66" s="4" t="s">
        <v>60</v>
      </c>
      <c r="C66" s="4" t="s">
        <v>61</v>
      </c>
      <c r="D66" s="26">
        <v>12.5</v>
      </c>
      <c r="E66" s="27">
        <v>12.41</v>
      </c>
      <c r="F66" s="4" t="s">
        <v>53</v>
      </c>
      <c r="G66" s="4" t="s">
        <v>53</v>
      </c>
      <c r="H66" s="4" t="s">
        <v>53</v>
      </c>
      <c r="L66" s="4" t="s">
        <v>53</v>
      </c>
      <c r="O66" s="4" t="s">
        <v>53</v>
      </c>
      <c r="P66" s="4" t="s">
        <v>53</v>
      </c>
      <c r="T66" s="4" t="s">
        <v>53</v>
      </c>
      <c r="V66" s="4" t="s">
        <v>53</v>
      </c>
      <c r="AE66" s="4" t="s">
        <v>53</v>
      </c>
      <c r="AI66" s="4" t="s">
        <v>53</v>
      </c>
      <c r="AL66" s="3">
        <f t="shared" si="4"/>
        <v>10</v>
      </c>
      <c r="AM66" s="19">
        <f t="shared" si="5"/>
        <v>124.1</v>
      </c>
    </row>
    <row r="67">
      <c r="A67" s="30">
        <f>A66+5</f>
        <v>45847</v>
      </c>
      <c r="B67" s="4" t="s">
        <v>56</v>
      </c>
      <c r="C67" s="4" t="s">
        <v>62</v>
      </c>
      <c r="D67" s="26">
        <v>12.5</v>
      </c>
      <c r="E67" s="27">
        <v>12.29</v>
      </c>
      <c r="F67" s="4" t="s">
        <v>53</v>
      </c>
      <c r="L67" s="4" t="s">
        <v>53</v>
      </c>
      <c r="M67" s="4" t="s">
        <v>53</v>
      </c>
      <c r="N67" s="4"/>
      <c r="P67" s="4" t="s">
        <v>53</v>
      </c>
      <c r="Q67" s="4" t="s">
        <v>53</v>
      </c>
      <c r="R67" s="4" t="s">
        <v>53</v>
      </c>
      <c r="T67" s="4" t="s">
        <v>53</v>
      </c>
      <c r="V67" s="4" t="s">
        <v>53</v>
      </c>
      <c r="X67" s="4" t="s">
        <v>53</v>
      </c>
      <c r="AB67" s="4" t="s">
        <v>53</v>
      </c>
      <c r="AE67" s="4" t="s">
        <v>53</v>
      </c>
      <c r="AI67" s="4" t="s">
        <v>53</v>
      </c>
      <c r="AJ67" s="4" t="s">
        <v>53</v>
      </c>
      <c r="AL67" s="3">
        <f t="shared" si="4"/>
        <v>13</v>
      </c>
      <c r="AM67" s="19">
        <f t="shared" si="5"/>
        <v>159.77</v>
      </c>
    </row>
    <row r="68">
      <c r="A68" s="28">
        <f>A67+2</f>
        <v>45849</v>
      </c>
      <c r="B68" s="5" t="s">
        <v>51</v>
      </c>
      <c r="C68" s="5" t="s">
        <v>70</v>
      </c>
      <c r="D68" s="33">
        <v>10.0</v>
      </c>
      <c r="E68" s="27">
        <v>10.25</v>
      </c>
      <c r="F68" s="5" t="s">
        <v>53</v>
      </c>
      <c r="G68" s="5" t="s">
        <v>53</v>
      </c>
      <c r="H68" s="5" t="s">
        <v>53</v>
      </c>
      <c r="I68" s="6"/>
      <c r="J68" s="6"/>
      <c r="K68" s="6"/>
      <c r="L68" s="5" t="s">
        <v>53</v>
      </c>
      <c r="M68" s="6"/>
      <c r="N68" s="6"/>
      <c r="O68" s="6"/>
      <c r="P68" s="5" t="s">
        <v>53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5" t="s">
        <v>53</v>
      </c>
      <c r="AB68" s="6"/>
      <c r="AC68" s="6"/>
      <c r="AD68" s="6"/>
      <c r="AE68" s="6"/>
      <c r="AF68" s="5"/>
      <c r="AG68" s="6"/>
      <c r="AH68" s="6"/>
      <c r="AI68" s="6"/>
      <c r="AJ68" s="6"/>
      <c r="AK68" s="6"/>
      <c r="AL68" s="6">
        <f t="shared" si="4"/>
        <v>6</v>
      </c>
      <c r="AM68" s="8">
        <f t="shared" si="5"/>
        <v>61.5</v>
      </c>
      <c r="AN68" s="6"/>
    </row>
    <row r="69">
      <c r="A69" s="28">
        <f>A68+5</f>
        <v>45854</v>
      </c>
      <c r="B69" s="5" t="s">
        <v>72</v>
      </c>
      <c r="C69" s="5" t="s">
        <v>59</v>
      </c>
      <c r="D69" s="33">
        <v>8.0</v>
      </c>
      <c r="E69" s="27">
        <v>8.97</v>
      </c>
      <c r="F69" s="6"/>
      <c r="G69" s="5" t="s">
        <v>53</v>
      </c>
      <c r="H69" s="5" t="s">
        <v>53</v>
      </c>
      <c r="I69" s="5"/>
      <c r="J69" s="5" t="s">
        <v>53</v>
      </c>
      <c r="K69" s="6"/>
      <c r="L69" s="5" t="s">
        <v>53</v>
      </c>
      <c r="M69" s="6"/>
      <c r="N69" s="6"/>
      <c r="O69" s="5"/>
      <c r="P69" s="5" t="s">
        <v>53</v>
      </c>
      <c r="Q69" s="6"/>
      <c r="R69" s="5"/>
      <c r="S69" s="6"/>
      <c r="T69" s="5" t="s">
        <v>53</v>
      </c>
      <c r="U69" s="6"/>
      <c r="V69" s="6"/>
      <c r="W69" s="6"/>
      <c r="X69" s="6"/>
      <c r="Y69" s="6"/>
      <c r="Z69" s="5" t="s">
        <v>53</v>
      </c>
      <c r="AA69" s="5" t="s">
        <v>53</v>
      </c>
      <c r="AB69" s="6"/>
      <c r="AC69" s="6"/>
      <c r="AD69" s="6"/>
      <c r="AE69" s="5" t="s">
        <v>53</v>
      </c>
      <c r="AF69" s="5" t="s">
        <v>53</v>
      </c>
      <c r="AG69" s="6"/>
      <c r="AH69" s="6"/>
      <c r="AI69" s="6"/>
      <c r="AJ69" s="5" t="s">
        <v>53</v>
      </c>
      <c r="AK69" s="6"/>
      <c r="AL69" s="6">
        <f t="shared" si="4"/>
        <v>11</v>
      </c>
      <c r="AM69" s="8">
        <f t="shared" si="5"/>
        <v>98.67</v>
      </c>
      <c r="AN69" s="6"/>
    </row>
    <row r="70">
      <c r="A70" s="28">
        <f>A69+2</f>
        <v>45856</v>
      </c>
      <c r="B70" s="5" t="s">
        <v>60</v>
      </c>
      <c r="C70" s="5" t="s">
        <v>61</v>
      </c>
      <c r="D70" s="33">
        <v>12.5</v>
      </c>
      <c r="E70" s="27">
        <v>12.32</v>
      </c>
      <c r="F70" s="6"/>
      <c r="G70" s="5" t="s">
        <v>53</v>
      </c>
      <c r="H70" s="5" t="s">
        <v>53</v>
      </c>
      <c r="I70" s="5"/>
      <c r="J70" s="5"/>
      <c r="K70" s="6"/>
      <c r="L70" s="5" t="s">
        <v>53</v>
      </c>
      <c r="M70" s="6"/>
      <c r="N70" s="6"/>
      <c r="O70" s="5"/>
      <c r="P70" s="5" t="s">
        <v>53</v>
      </c>
      <c r="Q70" s="6"/>
      <c r="R70" s="6"/>
      <c r="S70" s="6"/>
      <c r="T70" s="6"/>
      <c r="U70" s="6"/>
      <c r="V70" s="5" t="s">
        <v>53</v>
      </c>
      <c r="W70" s="6"/>
      <c r="X70" s="6"/>
      <c r="Y70" s="6"/>
      <c r="Z70" s="6"/>
      <c r="AA70" s="5" t="s">
        <v>53</v>
      </c>
      <c r="AB70" s="6"/>
      <c r="AC70" s="6"/>
      <c r="AD70" s="6"/>
      <c r="AE70" s="5" t="s">
        <v>53</v>
      </c>
      <c r="AF70" s="5" t="s">
        <v>53</v>
      </c>
      <c r="AG70" s="6"/>
      <c r="AH70" s="6"/>
      <c r="AI70" s="6"/>
      <c r="AJ70" s="6"/>
      <c r="AK70" s="6"/>
      <c r="AL70" s="6">
        <f t="shared" si="4"/>
        <v>8</v>
      </c>
      <c r="AM70" s="8">
        <f t="shared" si="5"/>
        <v>98.56</v>
      </c>
      <c r="AN70" s="6"/>
    </row>
    <row r="71">
      <c r="A71" s="28">
        <f>A70+5</f>
        <v>45861</v>
      </c>
      <c r="B71" s="5" t="s">
        <v>72</v>
      </c>
      <c r="C71" s="5" t="s">
        <v>57</v>
      </c>
      <c r="D71" s="33">
        <v>8.0</v>
      </c>
      <c r="E71" s="27">
        <v>8.31</v>
      </c>
      <c r="F71" s="6"/>
      <c r="G71" s="6"/>
      <c r="H71" s="5" t="s">
        <v>53</v>
      </c>
      <c r="I71" s="5"/>
      <c r="J71" s="5" t="s">
        <v>53</v>
      </c>
      <c r="K71" s="5" t="s">
        <v>53</v>
      </c>
      <c r="L71" s="6"/>
      <c r="M71" s="5" t="s">
        <v>53</v>
      </c>
      <c r="N71" s="6"/>
      <c r="O71" s="5" t="s">
        <v>53</v>
      </c>
      <c r="P71" s="6"/>
      <c r="Q71" s="6"/>
      <c r="R71" s="6"/>
      <c r="S71" s="6"/>
      <c r="T71" s="5" t="s">
        <v>53</v>
      </c>
      <c r="U71" s="5" t="s">
        <v>89</v>
      </c>
      <c r="V71" s="5" t="s">
        <v>53</v>
      </c>
      <c r="W71" s="6"/>
      <c r="X71" s="6"/>
      <c r="Y71" s="6"/>
      <c r="Z71" s="6"/>
      <c r="AA71" s="5" t="s">
        <v>53</v>
      </c>
      <c r="AB71" s="5" t="s">
        <v>53</v>
      </c>
      <c r="AC71" s="6"/>
      <c r="AD71" s="6"/>
      <c r="AE71" s="5" t="s">
        <v>53</v>
      </c>
      <c r="AF71" s="5" t="s">
        <v>53</v>
      </c>
      <c r="AG71" s="6"/>
      <c r="AH71" s="6"/>
      <c r="AI71" s="5" t="s">
        <v>53</v>
      </c>
      <c r="AJ71" s="5" t="s">
        <v>53</v>
      </c>
      <c r="AK71" s="5">
        <v>1.0</v>
      </c>
      <c r="AL71" s="6">
        <f t="shared" si="4"/>
        <v>14</v>
      </c>
      <c r="AM71" s="8">
        <f t="shared" si="5"/>
        <v>116.34</v>
      </c>
      <c r="AN71" s="6"/>
    </row>
    <row r="72">
      <c r="A72" s="28">
        <f>A71+2</f>
        <v>45863</v>
      </c>
      <c r="B72" s="5" t="s">
        <v>51</v>
      </c>
      <c r="C72" s="5" t="s">
        <v>70</v>
      </c>
      <c r="D72" s="33">
        <v>10.0</v>
      </c>
      <c r="E72" s="27">
        <v>10.37</v>
      </c>
      <c r="F72" s="6"/>
      <c r="G72" s="6"/>
      <c r="H72" s="5" t="s">
        <v>53</v>
      </c>
      <c r="I72" s="6"/>
      <c r="J72" s="6"/>
      <c r="K72" s="6"/>
      <c r="L72" s="5" t="s">
        <v>53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5" t="s">
        <v>53</v>
      </c>
      <c r="AA72" s="6"/>
      <c r="AB72" s="6"/>
      <c r="AC72" s="6"/>
      <c r="AD72" s="6"/>
      <c r="AE72" s="5" t="s">
        <v>53</v>
      </c>
      <c r="AF72" s="5"/>
      <c r="AG72" s="6"/>
      <c r="AH72" s="6"/>
      <c r="AI72" s="6"/>
      <c r="AJ72" s="6"/>
      <c r="AK72" s="6"/>
      <c r="AL72" s="6">
        <f t="shared" si="4"/>
        <v>4</v>
      </c>
      <c r="AM72" s="8">
        <f t="shared" si="5"/>
        <v>41.48</v>
      </c>
      <c r="AN72" s="6"/>
    </row>
    <row r="73">
      <c r="A73" s="28">
        <f>A72+5</f>
        <v>45868</v>
      </c>
      <c r="B73" s="5" t="s">
        <v>73</v>
      </c>
      <c r="C73" s="5" t="s">
        <v>74</v>
      </c>
      <c r="D73" s="33">
        <v>8.0</v>
      </c>
      <c r="E73" s="27">
        <v>10.44</v>
      </c>
      <c r="F73" s="6"/>
      <c r="G73" s="5" t="s">
        <v>53</v>
      </c>
      <c r="H73" s="5" t="s">
        <v>53</v>
      </c>
      <c r="I73" s="6"/>
      <c r="J73" s="6"/>
      <c r="K73" s="6"/>
      <c r="L73" s="5" t="s">
        <v>53</v>
      </c>
      <c r="M73" s="6"/>
      <c r="N73" s="6"/>
      <c r="O73" s="5" t="s">
        <v>53</v>
      </c>
      <c r="P73" s="5" t="s">
        <v>53</v>
      </c>
      <c r="Q73" s="6"/>
      <c r="R73" s="5" t="s">
        <v>53</v>
      </c>
      <c r="S73" s="6"/>
      <c r="T73" s="5" t="s">
        <v>53</v>
      </c>
      <c r="U73" s="6"/>
      <c r="V73" s="6"/>
      <c r="W73" s="5" t="s">
        <v>53</v>
      </c>
      <c r="X73" s="6"/>
      <c r="Y73" s="6"/>
      <c r="Z73" s="6"/>
      <c r="AA73" s="5" t="s">
        <v>53</v>
      </c>
      <c r="AB73" s="6"/>
      <c r="AC73" s="6"/>
      <c r="AD73" s="6"/>
      <c r="AE73" s="5" t="s">
        <v>53</v>
      </c>
      <c r="AF73" s="5" t="s">
        <v>53</v>
      </c>
      <c r="AG73" s="6"/>
      <c r="AH73" s="6"/>
      <c r="AI73" s="5" t="s">
        <v>53</v>
      </c>
      <c r="AJ73" s="5" t="s">
        <v>53</v>
      </c>
      <c r="AK73" s="6"/>
      <c r="AL73" s="6">
        <f t="shared" si="4"/>
        <v>13</v>
      </c>
      <c r="AM73" s="8">
        <f t="shared" si="5"/>
        <v>135.72</v>
      </c>
      <c r="AN73" s="6"/>
    </row>
    <row r="74">
      <c r="A74" s="28">
        <f>A73+2</f>
        <v>45870</v>
      </c>
      <c r="B74" s="5" t="s">
        <v>60</v>
      </c>
      <c r="C74" s="5" t="s">
        <v>61</v>
      </c>
      <c r="D74" s="33">
        <v>12.5</v>
      </c>
      <c r="E74" s="27">
        <v>12.44</v>
      </c>
      <c r="F74" s="6"/>
      <c r="G74" s="5" t="s">
        <v>53</v>
      </c>
      <c r="H74" s="5" t="s">
        <v>53</v>
      </c>
      <c r="I74" s="6"/>
      <c r="J74" s="6"/>
      <c r="K74" s="6"/>
      <c r="L74" s="5" t="s">
        <v>53</v>
      </c>
      <c r="M74" s="6"/>
      <c r="N74" s="6"/>
      <c r="O74" s="6"/>
      <c r="P74" s="5" t="s">
        <v>53</v>
      </c>
      <c r="Q74" s="6"/>
      <c r="R74" s="6"/>
      <c r="S74" s="6"/>
      <c r="T74" s="6"/>
      <c r="U74" s="6"/>
      <c r="V74" s="5" t="s">
        <v>53</v>
      </c>
      <c r="W74" s="5" t="s">
        <v>53</v>
      </c>
      <c r="X74" s="6"/>
      <c r="Y74" s="6"/>
      <c r="Z74" s="6"/>
      <c r="AA74" s="5" t="s">
        <v>53</v>
      </c>
      <c r="AB74" s="6"/>
      <c r="AC74" s="6"/>
      <c r="AD74" s="6"/>
      <c r="AE74" s="5" t="s">
        <v>53</v>
      </c>
      <c r="AF74" s="5" t="s">
        <v>53</v>
      </c>
      <c r="AG74" s="6"/>
      <c r="AH74" s="6"/>
      <c r="AI74" s="5" t="s">
        <v>53</v>
      </c>
      <c r="AJ74" s="6"/>
      <c r="AK74" s="6"/>
      <c r="AL74" s="6">
        <f t="shared" si="4"/>
        <v>10</v>
      </c>
      <c r="AM74" s="8">
        <f t="shared" si="5"/>
        <v>124.4</v>
      </c>
      <c r="AN74" s="6"/>
    </row>
    <row r="75">
      <c r="A75" s="28">
        <f>A74+5</f>
        <v>45875</v>
      </c>
      <c r="B75" s="5" t="s">
        <v>72</v>
      </c>
      <c r="C75" s="5" t="s">
        <v>62</v>
      </c>
      <c r="D75" s="33">
        <v>12.5</v>
      </c>
      <c r="E75" s="27">
        <v>12.0</v>
      </c>
      <c r="F75" s="6"/>
      <c r="G75" s="5" t="s">
        <v>53</v>
      </c>
      <c r="H75" s="5" t="s">
        <v>53</v>
      </c>
      <c r="I75" s="6"/>
      <c r="J75" s="6"/>
      <c r="K75" s="5" t="s">
        <v>53</v>
      </c>
      <c r="L75" s="5" t="s">
        <v>53</v>
      </c>
      <c r="M75" s="6"/>
      <c r="N75" s="5" t="s">
        <v>53</v>
      </c>
      <c r="O75" s="5" t="s">
        <v>53</v>
      </c>
      <c r="P75" s="5" t="s">
        <v>53</v>
      </c>
      <c r="Q75" s="6"/>
      <c r="R75" s="5" t="s">
        <v>53</v>
      </c>
      <c r="S75" s="6"/>
      <c r="T75" s="5"/>
      <c r="U75" s="6"/>
      <c r="V75" s="6"/>
      <c r="W75" s="6"/>
      <c r="X75" s="6"/>
      <c r="Y75" s="6"/>
      <c r="Z75" s="6"/>
      <c r="AA75" s="6"/>
      <c r="AB75" s="6"/>
      <c r="AC75" s="6"/>
      <c r="AD75" s="6"/>
      <c r="AE75" s="5" t="s">
        <v>53</v>
      </c>
      <c r="AF75" s="5" t="s">
        <v>53</v>
      </c>
      <c r="AG75" s="6"/>
      <c r="AH75" s="6"/>
      <c r="AI75" s="5" t="s">
        <v>53</v>
      </c>
      <c r="AJ75" s="5" t="s">
        <v>53</v>
      </c>
      <c r="AK75" s="5">
        <v>2.0</v>
      </c>
      <c r="AL75" s="6">
        <f t="shared" si="4"/>
        <v>14</v>
      </c>
      <c r="AM75" s="8">
        <f t="shared" si="5"/>
        <v>168</v>
      </c>
      <c r="AN75" s="6"/>
    </row>
    <row r="76">
      <c r="A76" s="28">
        <f>A75+2</f>
        <v>45877</v>
      </c>
      <c r="B76" s="5" t="s">
        <v>51</v>
      </c>
      <c r="C76" s="5" t="s">
        <v>70</v>
      </c>
      <c r="D76" s="33">
        <v>10.0</v>
      </c>
      <c r="E76" s="27">
        <v>10.4</v>
      </c>
      <c r="F76" s="6"/>
      <c r="G76" s="6"/>
      <c r="H76" s="5" t="s">
        <v>53</v>
      </c>
      <c r="I76" s="6"/>
      <c r="J76" s="6"/>
      <c r="K76" s="6"/>
      <c r="L76" s="5" t="s">
        <v>53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5"/>
      <c r="X76" s="6"/>
      <c r="Y76" s="6"/>
      <c r="Z76" s="6"/>
      <c r="AA76" s="6"/>
      <c r="AB76" s="6"/>
      <c r="AC76" s="6"/>
      <c r="AD76" s="6"/>
      <c r="AE76" s="5" t="s">
        <v>53</v>
      </c>
      <c r="AF76" s="5"/>
      <c r="AG76" s="6"/>
      <c r="AH76" s="6"/>
      <c r="AI76" s="6"/>
      <c r="AJ76" s="6"/>
      <c r="AK76" s="6"/>
      <c r="AL76" s="6">
        <f t="shared" si="4"/>
        <v>3</v>
      </c>
      <c r="AM76" s="8">
        <f t="shared" si="5"/>
        <v>31.2</v>
      </c>
      <c r="AN76" s="6"/>
    </row>
    <row r="77">
      <c r="A77" s="30">
        <f>A76+5</f>
        <v>45882</v>
      </c>
      <c r="B77" s="4" t="s">
        <v>56</v>
      </c>
      <c r="C77" s="4" t="s">
        <v>59</v>
      </c>
      <c r="D77" s="26">
        <v>8.0</v>
      </c>
      <c r="E77" s="27">
        <v>9.46</v>
      </c>
      <c r="F77" s="4" t="s">
        <v>53</v>
      </c>
      <c r="H77" s="4" t="s">
        <v>53</v>
      </c>
      <c r="L77" s="4" t="s">
        <v>53</v>
      </c>
      <c r="N77" s="4" t="s">
        <v>53</v>
      </c>
      <c r="O77" s="4" t="s">
        <v>53</v>
      </c>
      <c r="P77" s="4" t="s">
        <v>53</v>
      </c>
      <c r="R77" s="4" t="s">
        <v>53</v>
      </c>
      <c r="T77" s="4" t="s">
        <v>53</v>
      </c>
      <c r="U77" s="4" t="s">
        <v>53</v>
      </c>
      <c r="V77" s="4" t="s">
        <v>53</v>
      </c>
      <c r="W77" s="4" t="s">
        <v>53</v>
      </c>
      <c r="AE77" s="4" t="s">
        <v>53</v>
      </c>
      <c r="AF77" s="4" t="s">
        <v>53</v>
      </c>
      <c r="AI77" s="4" t="s">
        <v>53</v>
      </c>
      <c r="AJ77" s="4" t="s">
        <v>53</v>
      </c>
      <c r="AK77" s="4">
        <v>1.0</v>
      </c>
      <c r="AL77" s="3">
        <f t="shared" si="4"/>
        <v>16</v>
      </c>
      <c r="AM77" s="19">
        <f t="shared" si="5"/>
        <v>151.36</v>
      </c>
    </row>
    <row r="78">
      <c r="A78" s="30">
        <f>A77+2</f>
        <v>45884</v>
      </c>
      <c r="B78" s="4" t="s">
        <v>60</v>
      </c>
      <c r="C78" s="4" t="s">
        <v>61</v>
      </c>
      <c r="D78" s="26">
        <v>12.5</v>
      </c>
      <c r="E78" s="27">
        <v>12.4</v>
      </c>
      <c r="F78" s="4" t="s">
        <v>53</v>
      </c>
      <c r="H78" s="4" t="s">
        <v>53</v>
      </c>
      <c r="L78" s="4" t="s">
        <v>53</v>
      </c>
      <c r="O78" s="4" t="s">
        <v>53</v>
      </c>
      <c r="P78" s="4" t="s">
        <v>53</v>
      </c>
      <c r="V78" s="4" t="s">
        <v>53</v>
      </c>
      <c r="W78" s="4" t="s">
        <v>53</v>
      </c>
      <c r="AE78" s="4" t="s">
        <v>53</v>
      </c>
      <c r="AL78" s="3">
        <f t="shared" si="4"/>
        <v>8</v>
      </c>
      <c r="AM78" s="19">
        <f t="shared" si="5"/>
        <v>99.2</v>
      </c>
    </row>
    <row r="79">
      <c r="A79" s="30">
        <f>A78+5</f>
        <v>45889</v>
      </c>
      <c r="B79" s="4" t="s">
        <v>56</v>
      </c>
      <c r="C79" s="4" t="s">
        <v>57</v>
      </c>
      <c r="D79" s="26">
        <v>8.0</v>
      </c>
      <c r="E79" s="27">
        <v>7.58</v>
      </c>
      <c r="F79" s="4" t="s">
        <v>53</v>
      </c>
      <c r="G79" s="4" t="s">
        <v>53</v>
      </c>
      <c r="I79" s="4"/>
      <c r="J79" s="4" t="s">
        <v>53</v>
      </c>
      <c r="L79" s="4" t="s">
        <v>53</v>
      </c>
      <c r="M79" s="4" t="s">
        <v>53</v>
      </c>
      <c r="N79" s="4" t="s">
        <v>53</v>
      </c>
      <c r="O79" s="4" t="s">
        <v>53</v>
      </c>
      <c r="P79" s="4" t="s">
        <v>89</v>
      </c>
      <c r="R79" s="4" t="s">
        <v>53</v>
      </c>
      <c r="V79" s="4" t="s">
        <v>53</v>
      </c>
      <c r="AB79" s="4" t="s">
        <v>53</v>
      </c>
      <c r="AE79" s="4" t="s">
        <v>53</v>
      </c>
      <c r="AI79" s="4" t="s">
        <v>53</v>
      </c>
      <c r="AL79" s="3">
        <f t="shared" si="4"/>
        <v>12</v>
      </c>
      <c r="AM79" s="19">
        <f t="shared" si="5"/>
        <v>90.96</v>
      </c>
    </row>
    <row r="80">
      <c r="A80" s="30">
        <f>A79+2</f>
        <v>45891</v>
      </c>
      <c r="B80" s="4" t="s">
        <v>51</v>
      </c>
      <c r="C80" s="4" t="s">
        <v>70</v>
      </c>
      <c r="D80" s="26">
        <v>10.0</v>
      </c>
      <c r="E80" s="27">
        <v>9.13</v>
      </c>
      <c r="F80" s="4" t="s">
        <v>53</v>
      </c>
      <c r="G80" s="4" t="s">
        <v>53</v>
      </c>
      <c r="L80" s="4" t="s">
        <v>53</v>
      </c>
      <c r="P80" s="4" t="s">
        <v>53</v>
      </c>
      <c r="W80" s="4" t="s">
        <v>53</v>
      </c>
      <c r="AE80" s="4" t="s">
        <v>53</v>
      </c>
      <c r="AL80" s="3">
        <f t="shared" si="4"/>
        <v>6</v>
      </c>
      <c r="AM80" s="19">
        <f t="shared" si="5"/>
        <v>54.78</v>
      </c>
    </row>
    <row r="81">
      <c r="A81" s="30">
        <f>A80+5</f>
        <v>45896</v>
      </c>
      <c r="B81" s="4" t="s">
        <v>56</v>
      </c>
      <c r="C81" s="4" t="s">
        <v>59</v>
      </c>
      <c r="D81" s="26">
        <v>8.0</v>
      </c>
      <c r="E81" s="27">
        <v>7.97</v>
      </c>
      <c r="F81" s="4" t="s">
        <v>53</v>
      </c>
      <c r="G81" s="4" t="s">
        <v>53</v>
      </c>
      <c r="K81" s="4" t="s">
        <v>53</v>
      </c>
      <c r="L81" s="4" t="s">
        <v>53</v>
      </c>
      <c r="M81" s="4" t="s">
        <v>53</v>
      </c>
      <c r="R81" s="4" t="s">
        <v>53</v>
      </c>
      <c r="T81" s="4" t="s">
        <v>53</v>
      </c>
      <c r="U81" s="4" t="s">
        <v>53</v>
      </c>
      <c r="V81" s="4" t="s">
        <v>53</v>
      </c>
      <c r="W81" s="4" t="s">
        <v>53</v>
      </c>
      <c r="AE81" s="4" t="s">
        <v>53</v>
      </c>
      <c r="AJ81" s="4" t="s">
        <v>53</v>
      </c>
      <c r="AL81" s="3">
        <f t="shared" si="4"/>
        <v>12</v>
      </c>
      <c r="AM81" s="19">
        <f t="shared" si="5"/>
        <v>95.64</v>
      </c>
    </row>
    <row r="82">
      <c r="A82" s="30">
        <f>A81+2</f>
        <v>45898</v>
      </c>
      <c r="B82" s="4" t="s">
        <v>60</v>
      </c>
      <c r="C82" s="4" t="s">
        <v>61</v>
      </c>
      <c r="D82" s="26">
        <v>12.5</v>
      </c>
      <c r="E82" s="27">
        <v>12.55</v>
      </c>
      <c r="F82" s="4" t="s">
        <v>53</v>
      </c>
      <c r="G82" s="4" t="s">
        <v>53</v>
      </c>
      <c r="L82" s="4" t="s">
        <v>53</v>
      </c>
      <c r="P82" s="4" t="s">
        <v>53</v>
      </c>
      <c r="W82" s="4" t="s">
        <v>53</v>
      </c>
      <c r="AE82" s="4" t="s">
        <v>53</v>
      </c>
      <c r="AK82" s="4">
        <v>1.0</v>
      </c>
      <c r="AL82" s="3">
        <f t="shared" si="4"/>
        <v>7</v>
      </c>
      <c r="AM82" s="19">
        <f t="shared" si="5"/>
        <v>87.85</v>
      </c>
    </row>
    <row r="83">
      <c r="A83" s="30">
        <f>A82+5</f>
        <v>45903</v>
      </c>
      <c r="B83" s="4" t="s">
        <v>56</v>
      </c>
      <c r="C83" s="4" t="s">
        <v>62</v>
      </c>
      <c r="D83" s="26">
        <v>12.5</v>
      </c>
      <c r="E83" s="27">
        <v>12.01</v>
      </c>
      <c r="F83" s="4" t="s">
        <v>53</v>
      </c>
      <c r="G83" s="4" t="s">
        <v>53</v>
      </c>
      <c r="H83" s="4" t="s">
        <v>53</v>
      </c>
      <c r="L83" s="4" t="s">
        <v>53</v>
      </c>
      <c r="M83" s="4" t="s">
        <v>53</v>
      </c>
      <c r="P83" s="4" t="s">
        <v>53</v>
      </c>
      <c r="T83" s="4" t="s">
        <v>53</v>
      </c>
      <c r="V83" s="4" t="s">
        <v>53</v>
      </c>
      <c r="W83" s="4" t="s">
        <v>53</v>
      </c>
      <c r="AE83" s="4" t="s">
        <v>53</v>
      </c>
      <c r="AI83" s="4" t="s">
        <v>53</v>
      </c>
      <c r="AJ83" s="4" t="s">
        <v>53</v>
      </c>
      <c r="AL83" s="3">
        <f t="shared" si="4"/>
        <v>12</v>
      </c>
      <c r="AM83" s="19">
        <f t="shared" si="5"/>
        <v>144.12</v>
      </c>
    </row>
    <row r="84">
      <c r="A84" s="28">
        <f>A83+2</f>
        <v>45905</v>
      </c>
      <c r="B84" s="4" t="s">
        <v>51</v>
      </c>
      <c r="C84" s="4" t="s">
        <v>70</v>
      </c>
      <c r="D84" s="26">
        <v>10.0</v>
      </c>
      <c r="E84" s="27">
        <v>10.3</v>
      </c>
      <c r="F84" s="4" t="s">
        <v>53</v>
      </c>
      <c r="G84" s="4" t="s">
        <v>53</v>
      </c>
      <c r="H84" s="4" t="s">
        <v>53</v>
      </c>
      <c r="L84" s="4" t="s">
        <v>53</v>
      </c>
      <c r="P84" s="4" t="s">
        <v>53</v>
      </c>
      <c r="W84" s="4" t="s">
        <v>53</v>
      </c>
      <c r="AA84" s="4" t="s">
        <v>53</v>
      </c>
      <c r="AE84" s="4" t="s">
        <v>53</v>
      </c>
      <c r="AL84" s="3">
        <f t="shared" si="4"/>
        <v>8</v>
      </c>
      <c r="AM84" s="19">
        <f t="shared" si="5"/>
        <v>82.4</v>
      </c>
    </row>
    <row r="85">
      <c r="A85" s="30">
        <f>A84+5</f>
        <v>45910</v>
      </c>
      <c r="B85" s="4" t="s">
        <v>56</v>
      </c>
      <c r="C85" s="4" t="s">
        <v>59</v>
      </c>
      <c r="D85" s="26">
        <v>8.0</v>
      </c>
      <c r="E85" s="27">
        <v>7.95</v>
      </c>
      <c r="F85" s="4" t="s">
        <v>53</v>
      </c>
      <c r="G85" s="4" t="s">
        <v>53</v>
      </c>
      <c r="H85" s="4" t="s">
        <v>53</v>
      </c>
      <c r="L85" s="4" t="s">
        <v>53</v>
      </c>
      <c r="O85" s="4" t="s">
        <v>53</v>
      </c>
      <c r="P85" s="4" t="s">
        <v>53</v>
      </c>
      <c r="R85" s="4" t="s">
        <v>53</v>
      </c>
      <c r="T85" s="4" t="s">
        <v>53</v>
      </c>
      <c r="V85" s="4" t="s">
        <v>53</v>
      </c>
      <c r="W85" s="4" t="s">
        <v>53</v>
      </c>
      <c r="AA85" s="4" t="s">
        <v>53</v>
      </c>
      <c r="AE85" s="4" t="s">
        <v>53</v>
      </c>
      <c r="AI85" s="4" t="s">
        <v>53</v>
      </c>
      <c r="AJ85" s="4" t="s">
        <v>53</v>
      </c>
      <c r="AL85" s="3">
        <f t="shared" si="4"/>
        <v>14</v>
      </c>
      <c r="AM85" s="19">
        <f t="shared" si="5"/>
        <v>111.3</v>
      </c>
    </row>
    <row r="86">
      <c r="A86" s="30">
        <f>A85+2</f>
        <v>45912</v>
      </c>
      <c r="B86" s="4" t="s">
        <v>60</v>
      </c>
      <c r="C86" s="4" t="s">
        <v>61</v>
      </c>
      <c r="D86" s="26">
        <v>12.5</v>
      </c>
      <c r="E86" s="27">
        <v>12.42</v>
      </c>
      <c r="F86" s="4" t="s">
        <v>53</v>
      </c>
      <c r="G86" s="4" t="s">
        <v>53</v>
      </c>
      <c r="H86" s="4" t="s">
        <v>53</v>
      </c>
      <c r="L86" s="4" t="s">
        <v>53</v>
      </c>
      <c r="P86" s="4" t="s">
        <v>53</v>
      </c>
      <c r="W86" s="4" t="s">
        <v>53</v>
      </c>
      <c r="AA86" s="4" t="s">
        <v>53</v>
      </c>
      <c r="AE86" s="4" t="s">
        <v>53</v>
      </c>
      <c r="AI86" s="4" t="s">
        <v>53</v>
      </c>
      <c r="AL86" s="3">
        <f t="shared" si="4"/>
        <v>9</v>
      </c>
      <c r="AM86" s="19">
        <f t="shared" si="5"/>
        <v>111.78</v>
      </c>
    </row>
    <row r="87">
      <c r="A87" s="30">
        <f>A86+5</f>
        <v>45917</v>
      </c>
      <c r="B87" s="4" t="s">
        <v>56</v>
      </c>
      <c r="C87" s="4" t="s">
        <v>57</v>
      </c>
      <c r="D87" s="26">
        <v>8.0</v>
      </c>
      <c r="E87" s="27">
        <v>7.35</v>
      </c>
      <c r="F87" s="4" t="s">
        <v>53</v>
      </c>
      <c r="G87" s="4" t="s">
        <v>53</v>
      </c>
      <c r="H87" s="4" t="s">
        <v>53</v>
      </c>
      <c r="K87" s="4" t="s">
        <v>53</v>
      </c>
      <c r="L87" s="4" t="s">
        <v>53</v>
      </c>
      <c r="M87" s="4" t="s">
        <v>53</v>
      </c>
      <c r="P87" s="4" t="s">
        <v>53</v>
      </c>
      <c r="R87" s="4" t="s">
        <v>53</v>
      </c>
      <c r="T87" s="4" t="s">
        <v>53</v>
      </c>
      <c r="V87" s="4" t="s">
        <v>53</v>
      </c>
      <c r="AA87" s="4" t="s">
        <v>53</v>
      </c>
      <c r="AB87" s="4" t="s">
        <v>53</v>
      </c>
      <c r="AE87" s="4" t="s">
        <v>53</v>
      </c>
      <c r="AL87" s="3">
        <f t="shared" si="4"/>
        <v>13</v>
      </c>
      <c r="AM87" s="19">
        <f t="shared" si="5"/>
        <v>95.55</v>
      </c>
    </row>
    <row r="88">
      <c r="A88" s="30">
        <f>A87+2</f>
        <v>45919</v>
      </c>
      <c r="B88" s="4" t="s">
        <v>51</v>
      </c>
      <c r="C88" s="4" t="s">
        <v>70</v>
      </c>
      <c r="D88" s="26">
        <v>10.0</v>
      </c>
      <c r="E88" s="27">
        <v>10.27</v>
      </c>
      <c r="F88" s="4" t="s">
        <v>53</v>
      </c>
      <c r="G88" s="4" t="s">
        <v>53</v>
      </c>
      <c r="L88" s="4" t="s">
        <v>53</v>
      </c>
      <c r="P88" s="4" t="s">
        <v>53</v>
      </c>
      <c r="W88" s="4" t="s">
        <v>53</v>
      </c>
      <c r="AE88" s="4" t="s">
        <v>53</v>
      </c>
      <c r="AL88" s="3">
        <f t="shared" si="4"/>
        <v>6</v>
      </c>
      <c r="AM88" s="19">
        <f t="shared" si="5"/>
        <v>61.62</v>
      </c>
    </row>
    <row r="89">
      <c r="A89" s="39">
        <f>A88+1</f>
        <v>45920</v>
      </c>
      <c r="B89" s="4" t="s">
        <v>56</v>
      </c>
      <c r="C89" s="4" t="s">
        <v>96</v>
      </c>
      <c r="D89" s="26">
        <v>21.1</v>
      </c>
      <c r="E89" s="27">
        <v>21.16</v>
      </c>
      <c r="F89" s="4" t="s">
        <v>53</v>
      </c>
      <c r="G89" s="4" t="s">
        <v>53</v>
      </c>
      <c r="H89" s="4" t="s">
        <v>53</v>
      </c>
      <c r="K89" s="4" t="s">
        <v>53</v>
      </c>
      <c r="L89" s="4" t="s">
        <v>53</v>
      </c>
      <c r="M89" s="4" t="s">
        <v>53</v>
      </c>
      <c r="P89" s="4" t="s">
        <v>53</v>
      </c>
      <c r="R89" s="4" t="s">
        <v>53</v>
      </c>
      <c r="T89" s="4" t="s">
        <v>53</v>
      </c>
      <c r="W89" s="4" t="s">
        <v>53</v>
      </c>
      <c r="AE89" s="4" t="s">
        <v>53</v>
      </c>
      <c r="AK89" s="4">
        <v>1.0</v>
      </c>
      <c r="AL89" s="3">
        <f t="shared" si="4"/>
        <v>12</v>
      </c>
      <c r="AM89" s="19">
        <f t="shared" si="5"/>
        <v>253.92</v>
      </c>
    </row>
    <row r="90">
      <c r="A90" s="30">
        <f>A88+5</f>
        <v>45924</v>
      </c>
      <c r="B90" s="4" t="s">
        <v>56</v>
      </c>
      <c r="C90" s="4" t="s">
        <v>59</v>
      </c>
      <c r="D90" s="26">
        <v>8.0</v>
      </c>
      <c r="E90" s="27">
        <v>7.33</v>
      </c>
      <c r="F90" s="4" t="s">
        <v>53</v>
      </c>
      <c r="G90" s="4" t="s">
        <v>53</v>
      </c>
      <c r="H90" s="4" t="s">
        <v>53</v>
      </c>
      <c r="K90" s="4" t="s">
        <v>53</v>
      </c>
      <c r="L90" s="4" t="s">
        <v>53</v>
      </c>
      <c r="P90" s="4" t="s">
        <v>53</v>
      </c>
      <c r="R90" s="4" t="s">
        <v>53</v>
      </c>
      <c r="T90" s="4" t="s">
        <v>53</v>
      </c>
      <c r="V90" s="4" t="s">
        <v>53</v>
      </c>
      <c r="W90" s="4" t="s">
        <v>53</v>
      </c>
      <c r="AB90" s="4" t="s">
        <v>53</v>
      </c>
      <c r="AE90" s="4" t="s">
        <v>53</v>
      </c>
      <c r="AI90" s="4" t="s">
        <v>53</v>
      </c>
      <c r="AL90" s="3">
        <f t="shared" si="4"/>
        <v>13</v>
      </c>
      <c r="AM90" s="19">
        <f t="shared" si="5"/>
        <v>95.29</v>
      </c>
    </row>
    <row r="91">
      <c r="A91" s="30">
        <f>A90+2</f>
        <v>45926</v>
      </c>
      <c r="B91" s="4" t="s">
        <v>60</v>
      </c>
      <c r="C91" s="4" t="s">
        <v>61</v>
      </c>
      <c r="D91" s="26">
        <v>12.5</v>
      </c>
      <c r="E91" s="27">
        <v>11.78</v>
      </c>
      <c r="F91" s="4" t="s">
        <v>53</v>
      </c>
      <c r="G91" s="4" t="s">
        <v>53</v>
      </c>
      <c r="L91" s="4" t="s">
        <v>53</v>
      </c>
      <c r="P91" s="4" t="s">
        <v>53</v>
      </c>
      <c r="W91" s="4" t="s">
        <v>53</v>
      </c>
      <c r="AE91" s="4" t="s">
        <v>53</v>
      </c>
      <c r="AL91" s="3">
        <f t="shared" si="4"/>
        <v>6</v>
      </c>
      <c r="AM91" s="19">
        <f t="shared" si="5"/>
        <v>70.68</v>
      </c>
    </row>
    <row r="92">
      <c r="A92" s="30">
        <f>A91+5</f>
        <v>45931</v>
      </c>
      <c r="B92" s="4" t="s">
        <v>56</v>
      </c>
      <c r="C92" s="4" t="s">
        <v>62</v>
      </c>
      <c r="D92" s="26">
        <v>12.5</v>
      </c>
      <c r="E92" s="27">
        <v>12.09</v>
      </c>
      <c r="F92" s="4" t="s">
        <v>53</v>
      </c>
      <c r="G92" s="4" t="s">
        <v>53</v>
      </c>
      <c r="H92" s="4" t="s">
        <v>53</v>
      </c>
      <c r="K92" s="4" t="s">
        <v>53</v>
      </c>
      <c r="L92" s="4" t="s">
        <v>53</v>
      </c>
      <c r="M92" s="4" t="s">
        <v>53</v>
      </c>
      <c r="P92" s="4" t="s">
        <v>53</v>
      </c>
      <c r="Q92" s="4" t="s">
        <v>53</v>
      </c>
      <c r="T92" s="4" t="s">
        <v>53</v>
      </c>
      <c r="V92" s="4" t="s">
        <v>53</v>
      </c>
      <c r="AB92" s="4" t="s">
        <v>89</v>
      </c>
      <c r="AE92" s="4" t="s">
        <v>53</v>
      </c>
      <c r="AI92" s="4" t="s">
        <v>53</v>
      </c>
      <c r="AJ92" s="4" t="s">
        <v>53</v>
      </c>
      <c r="AL92" s="3">
        <f t="shared" si="4"/>
        <v>13</v>
      </c>
      <c r="AM92" s="19">
        <f t="shared" si="5"/>
        <v>157.17</v>
      </c>
    </row>
    <row r="93">
      <c r="A93" s="30">
        <f>A92+2</f>
        <v>45933</v>
      </c>
      <c r="B93" s="4" t="s">
        <v>51</v>
      </c>
      <c r="C93" s="4" t="s">
        <v>52</v>
      </c>
      <c r="D93" s="26">
        <v>7.0</v>
      </c>
      <c r="E93" s="27">
        <v>7.07</v>
      </c>
      <c r="F93" s="4" t="s">
        <v>53</v>
      </c>
      <c r="L93" s="4" t="s">
        <v>53</v>
      </c>
      <c r="P93" s="4" t="s">
        <v>53</v>
      </c>
      <c r="AE93" s="4" t="s">
        <v>53</v>
      </c>
      <c r="AL93" s="3">
        <f t="shared" si="4"/>
        <v>4</v>
      </c>
      <c r="AM93" s="19">
        <f t="shared" si="5"/>
        <v>28.28</v>
      </c>
    </row>
    <row r="94">
      <c r="A94" s="30">
        <f>A93+5</f>
        <v>45938</v>
      </c>
      <c r="B94" s="4" t="s">
        <v>56</v>
      </c>
      <c r="C94" s="4" t="s">
        <v>59</v>
      </c>
      <c r="D94" s="26">
        <v>8.0</v>
      </c>
      <c r="E94" s="27">
        <v>8.67</v>
      </c>
      <c r="F94" s="4" t="s">
        <v>53</v>
      </c>
      <c r="G94" s="4" t="s">
        <v>53</v>
      </c>
      <c r="H94" s="4" t="s">
        <v>53</v>
      </c>
      <c r="K94" s="4" t="s">
        <v>53</v>
      </c>
      <c r="L94" s="4" t="s">
        <v>53</v>
      </c>
      <c r="M94" s="4" t="s">
        <v>53</v>
      </c>
      <c r="N94" s="4" t="s">
        <v>53</v>
      </c>
      <c r="O94" s="4" t="s">
        <v>53</v>
      </c>
      <c r="R94" s="4" t="s">
        <v>53</v>
      </c>
      <c r="T94" s="4" t="s">
        <v>53</v>
      </c>
      <c r="U94" s="4" t="s">
        <v>89</v>
      </c>
      <c r="V94" s="4" t="s">
        <v>53</v>
      </c>
      <c r="Z94" s="4" t="s">
        <v>53</v>
      </c>
      <c r="AE94" s="4" t="s">
        <v>53</v>
      </c>
      <c r="AJ94" s="4" t="s">
        <v>53</v>
      </c>
      <c r="AL94" s="3">
        <f t="shared" si="4"/>
        <v>14</v>
      </c>
      <c r="AM94" s="19">
        <f t="shared" si="5"/>
        <v>121.38</v>
      </c>
    </row>
    <row r="95">
      <c r="A95" s="30">
        <f>A94+2</f>
        <v>45940</v>
      </c>
      <c r="B95" s="4" t="s">
        <v>51</v>
      </c>
      <c r="C95" s="4" t="s">
        <v>52</v>
      </c>
      <c r="D95" s="26">
        <v>7.0</v>
      </c>
      <c r="E95" s="27">
        <v>7.06</v>
      </c>
      <c r="F95" s="4" t="s">
        <v>53</v>
      </c>
      <c r="Z95" s="4" t="s">
        <v>53</v>
      </c>
      <c r="AE95" s="4" t="s">
        <v>53</v>
      </c>
      <c r="AL95" s="3">
        <f t="shared" si="4"/>
        <v>3</v>
      </c>
      <c r="AM95" s="19">
        <f t="shared" si="5"/>
        <v>21.18</v>
      </c>
    </row>
    <row r="96">
      <c r="A96" s="30">
        <f>A95+5</f>
        <v>45945</v>
      </c>
      <c r="B96" s="4" t="s">
        <v>56</v>
      </c>
      <c r="C96" s="4" t="s">
        <v>57</v>
      </c>
      <c r="D96" s="26">
        <v>8.0</v>
      </c>
      <c r="E96" s="27">
        <v>7.82</v>
      </c>
      <c r="F96" s="4" t="s">
        <v>53</v>
      </c>
      <c r="G96" s="4" t="s">
        <v>53</v>
      </c>
      <c r="H96" s="4" t="s">
        <v>53</v>
      </c>
      <c r="I96" s="4"/>
      <c r="J96" s="4" t="s">
        <v>53</v>
      </c>
      <c r="K96" s="4" t="s">
        <v>53</v>
      </c>
      <c r="L96" s="4" t="s">
        <v>53</v>
      </c>
      <c r="M96" s="4" t="s">
        <v>53</v>
      </c>
      <c r="O96" s="4" t="s">
        <v>53</v>
      </c>
      <c r="P96" s="4" t="s">
        <v>53</v>
      </c>
      <c r="Q96" s="4" t="s">
        <v>53</v>
      </c>
      <c r="R96" s="4" t="s">
        <v>89</v>
      </c>
      <c r="T96" s="4" t="s">
        <v>53</v>
      </c>
      <c r="V96" s="4" t="s">
        <v>53</v>
      </c>
      <c r="W96" s="4" t="s">
        <v>53</v>
      </c>
      <c r="AE96" s="4" t="s">
        <v>53</v>
      </c>
      <c r="AF96" s="4" t="s">
        <v>53</v>
      </c>
      <c r="AI96" s="4" t="s">
        <v>53</v>
      </c>
      <c r="AL96" s="3">
        <f t="shared" si="4"/>
        <v>16</v>
      </c>
      <c r="AM96" s="19">
        <f t="shared" si="5"/>
        <v>125.12</v>
      </c>
    </row>
    <row r="97">
      <c r="A97" s="30">
        <f>A96+2</f>
        <v>45947</v>
      </c>
      <c r="B97" s="4" t="s">
        <v>51</v>
      </c>
      <c r="C97" s="4" t="s">
        <v>52</v>
      </c>
      <c r="D97" s="26">
        <v>7.0</v>
      </c>
      <c r="E97" s="34">
        <v>7.17</v>
      </c>
      <c r="F97" s="4" t="s">
        <v>53</v>
      </c>
      <c r="G97" s="4" t="s">
        <v>89</v>
      </c>
      <c r="L97" s="4" t="s">
        <v>53</v>
      </c>
      <c r="P97" s="4" t="s">
        <v>53</v>
      </c>
      <c r="Z97" s="4" t="s">
        <v>53</v>
      </c>
      <c r="AE97" s="4" t="s">
        <v>53</v>
      </c>
      <c r="AL97" s="3">
        <f t="shared" si="4"/>
        <v>5</v>
      </c>
      <c r="AM97" s="19">
        <f t="shared" si="5"/>
        <v>35.85</v>
      </c>
    </row>
    <row r="98">
      <c r="A98" s="28">
        <f>A97+5</f>
        <v>45952</v>
      </c>
      <c r="B98" s="5" t="s">
        <v>56</v>
      </c>
      <c r="C98" s="5" t="s">
        <v>59</v>
      </c>
      <c r="D98" s="33">
        <v>8.0</v>
      </c>
      <c r="E98" s="27">
        <v>9.41</v>
      </c>
      <c r="F98" s="5" t="s">
        <v>53</v>
      </c>
      <c r="G98" s="5" t="s">
        <v>53</v>
      </c>
      <c r="H98" s="5" t="s">
        <v>53</v>
      </c>
      <c r="I98" s="6"/>
      <c r="J98" s="6"/>
      <c r="K98" s="5" t="s">
        <v>53</v>
      </c>
      <c r="L98" s="5" t="s">
        <v>53</v>
      </c>
      <c r="M98" s="5" t="s">
        <v>53</v>
      </c>
      <c r="N98" s="6"/>
      <c r="O98" s="6"/>
      <c r="P98" s="5" t="s">
        <v>53</v>
      </c>
      <c r="Q98" s="6"/>
      <c r="R98" s="5" t="s">
        <v>53</v>
      </c>
      <c r="S98" s="5" t="s">
        <v>53</v>
      </c>
      <c r="T98" s="5" t="s">
        <v>53</v>
      </c>
      <c r="U98" s="5" t="s">
        <v>53</v>
      </c>
      <c r="V98" s="5" t="s">
        <v>53</v>
      </c>
      <c r="W98" s="5" t="s">
        <v>53</v>
      </c>
      <c r="X98" s="6"/>
      <c r="Y98" s="6"/>
      <c r="Z98" s="6"/>
      <c r="AA98" s="6"/>
      <c r="AB98" s="6"/>
      <c r="AC98" s="6"/>
      <c r="AD98" s="6"/>
      <c r="AE98" s="5" t="s">
        <v>53</v>
      </c>
      <c r="AF98" s="5" t="s">
        <v>53</v>
      </c>
      <c r="AG98" s="6"/>
      <c r="AH98" s="6"/>
      <c r="AI98" s="5"/>
      <c r="AJ98" s="6"/>
      <c r="AK98" s="6"/>
      <c r="AL98" s="6">
        <f t="shared" si="4"/>
        <v>15</v>
      </c>
      <c r="AM98" s="8">
        <f t="shared" si="5"/>
        <v>141.15</v>
      </c>
      <c r="AN98" s="6"/>
    </row>
    <row r="99">
      <c r="A99" s="28">
        <f>A98+2</f>
        <v>45954</v>
      </c>
      <c r="B99" s="5" t="s">
        <v>60</v>
      </c>
      <c r="C99" s="5" t="s">
        <v>61</v>
      </c>
      <c r="D99" s="33">
        <v>12.5</v>
      </c>
      <c r="E99" s="27">
        <v>12.38</v>
      </c>
      <c r="F99" s="5" t="s">
        <v>53</v>
      </c>
      <c r="G99" s="5" t="s">
        <v>53</v>
      </c>
      <c r="H99" s="5" t="s">
        <v>53</v>
      </c>
      <c r="I99" s="6"/>
      <c r="J99" s="6"/>
      <c r="K99" s="6"/>
      <c r="L99" s="5" t="s">
        <v>53</v>
      </c>
      <c r="M99" s="6"/>
      <c r="N99" s="6"/>
      <c r="O99" s="6"/>
      <c r="P99" s="5" t="s">
        <v>53</v>
      </c>
      <c r="Q99" s="6"/>
      <c r="R99" s="6"/>
      <c r="S99" s="6"/>
      <c r="T99" s="6"/>
      <c r="U99" s="6"/>
      <c r="V99" s="6"/>
      <c r="W99" s="5" t="s">
        <v>53</v>
      </c>
      <c r="X99" s="6"/>
      <c r="Y99" s="6"/>
      <c r="Z99" s="6"/>
      <c r="AA99" s="6"/>
      <c r="AB99" s="6"/>
      <c r="AC99" s="6"/>
      <c r="AD99" s="6"/>
      <c r="AE99" s="5" t="s">
        <v>53</v>
      </c>
      <c r="AF99" s="6"/>
      <c r="AG99" s="6"/>
      <c r="AH99" s="6"/>
      <c r="AI99" s="6"/>
      <c r="AJ99" s="6"/>
      <c r="AK99" s="6"/>
      <c r="AL99" s="6">
        <f t="shared" si="4"/>
        <v>7</v>
      </c>
      <c r="AM99" s="8">
        <f t="shared" si="5"/>
        <v>86.66</v>
      </c>
      <c r="AN99" s="6"/>
    </row>
    <row r="100">
      <c r="A100" s="30">
        <f>A99+5</f>
        <v>45959</v>
      </c>
      <c r="B100" s="4" t="s">
        <v>56</v>
      </c>
      <c r="C100" s="4" t="s">
        <v>62</v>
      </c>
      <c r="D100" s="26">
        <v>12.5</v>
      </c>
      <c r="E100" s="27">
        <v>12.3</v>
      </c>
      <c r="F100" s="4" t="s">
        <v>89</v>
      </c>
      <c r="H100" s="4" t="s">
        <v>53</v>
      </c>
      <c r="K100" s="4" t="s">
        <v>53</v>
      </c>
      <c r="L100" s="4" t="s">
        <v>53</v>
      </c>
      <c r="N100" s="4" t="s">
        <v>53</v>
      </c>
      <c r="P100" s="4" t="s">
        <v>53</v>
      </c>
      <c r="R100" s="4" t="s">
        <v>53</v>
      </c>
      <c r="T100" s="4" t="s">
        <v>53</v>
      </c>
      <c r="V100" s="4" t="s">
        <v>53</v>
      </c>
      <c r="W100" s="4" t="s">
        <v>53</v>
      </c>
      <c r="Z100" s="4" t="s">
        <v>53</v>
      </c>
      <c r="AE100" s="4" t="s">
        <v>53</v>
      </c>
      <c r="AF100" s="4" t="s">
        <v>53</v>
      </c>
      <c r="AJ100" s="4" t="s">
        <v>53</v>
      </c>
      <c r="AL100" s="3">
        <f t="shared" si="4"/>
        <v>13</v>
      </c>
      <c r="AM100" s="8">
        <f t="shared" si="5"/>
        <v>159.9</v>
      </c>
    </row>
    <row r="101">
      <c r="A101" s="30">
        <f>A100+2</f>
        <v>45961</v>
      </c>
      <c r="B101" s="4" t="s">
        <v>51</v>
      </c>
      <c r="C101" s="4" t="s">
        <v>52</v>
      </c>
      <c r="D101" s="26">
        <v>7.0</v>
      </c>
      <c r="E101" s="27">
        <v>7.08</v>
      </c>
      <c r="F101" s="4" t="s">
        <v>53</v>
      </c>
      <c r="H101" s="4" t="s">
        <v>53</v>
      </c>
      <c r="L101" s="4" t="s">
        <v>53</v>
      </c>
      <c r="P101" s="4" t="s">
        <v>53</v>
      </c>
      <c r="AE101" s="4" t="s">
        <v>53</v>
      </c>
      <c r="AL101" s="3">
        <f t="shared" si="4"/>
        <v>5</v>
      </c>
      <c r="AM101" s="8">
        <f t="shared" si="5"/>
        <v>35.4</v>
      </c>
    </row>
    <row r="102">
      <c r="A102" s="30">
        <f>A101+5</f>
        <v>45966</v>
      </c>
      <c r="B102" s="4" t="s">
        <v>56</v>
      </c>
      <c r="C102" s="4" t="s">
        <v>59</v>
      </c>
      <c r="D102" s="26">
        <v>8.0</v>
      </c>
      <c r="E102" s="27">
        <v>8.51</v>
      </c>
      <c r="F102" s="4" t="s">
        <v>53</v>
      </c>
      <c r="G102" s="4" t="s">
        <v>53</v>
      </c>
      <c r="H102" s="4" t="s">
        <v>53</v>
      </c>
      <c r="I102" s="4" t="s">
        <v>53</v>
      </c>
      <c r="K102" s="4" t="s">
        <v>53</v>
      </c>
      <c r="L102" s="4" t="s">
        <v>53</v>
      </c>
      <c r="N102" s="4" t="s">
        <v>53</v>
      </c>
      <c r="O102" s="4" t="s">
        <v>53</v>
      </c>
      <c r="P102" s="4" t="s">
        <v>53</v>
      </c>
      <c r="R102" s="4" t="s">
        <v>53</v>
      </c>
      <c r="T102" s="4" t="s">
        <v>53</v>
      </c>
      <c r="W102" s="4" t="s">
        <v>53</v>
      </c>
      <c r="AB102" s="4" t="s">
        <v>53</v>
      </c>
      <c r="AE102" s="4" t="s">
        <v>53</v>
      </c>
      <c r="AI102" s="4" t="s">
        <v>53</v>
      </c>
      <c r="AJ102" s="4" t="s">
        <v>53</v>
      </c>
      <c r="AL102" s="3">
        <f t="shared" si="4"/>
        <v>16</v>
      </c>
      <c r="AM102" s="8">
        <f t="shared" si="5"/>
        <v>136.16</v>
      </c>
    </row>
    <row r="103">
      <c r="A103" s="30">
        <f>A102+2</f>
        <v>45968</v>
      </c>
      <c r="B103" s="4" t="s">
        <v>51</v>
      </c>
      <c r="C103" s="4" t="s">
        <v>52</v>
      </c>
      <c r="D103" s="26">
        <v>7.0</v>
      </c>
      <c r="E103" s="27">
        <v>7.05</v>
      </c>
      <c r="G103" s="4" t="s">
        <v>53</v>
      </c>
      <c r="L103" s="4" t="s">
        <v>53</v>
      </c>
      <c r="P103" s="4" t="s">
        <v>53</v>
      </c>
      <c r="AA103" s="4" t="s">
        <v>53</v>
      </c>
      <c r="AE103" s="4" t="s">
        <v>53</v>
      </c>
      <c r="AL103" s="3">
        <f t="shared" si="4"/>
        <v>5</v>
      </c>
      <c r="AM103" s="8">
        <f t="shared" si="5"/>
        <v>35.25</v>
      </c>
    </row>
    <row r="104">
      <c r="A104" s="30">
        <f>A103+5</f>
        <v>45973</v>
      </c>
      <c r="B104" s="4" t="s">
        <v>56</v>
      </c>
      <c r="C104" s="4" t="s">
        <v>57</v>
      </c>
      <c r="D104" s="26">
        <v>8.0</v>
      </c>
      <c r="E104" s="27">
        <v>8.33</v>
      </c>
      <c r="F104" s="4" t="s">
        <v>53</v>
      </c>
      <c r="G104" s="4" t="s">
        <v>53</v>
      </c>
      <c r="H104" s="4" t="s">
        <v>53</v>
      </c>
      <c r="I104" s="4"/>
      <c r="J104" s="4" t="s">
        <v>53</v>
      </c>
      <c r="L104" s="4" t="s">
        <v>53</v>
      </c>
      <c r="M104" s="4" t="s">
        <v>53</v>
      </c>
      <c r="N104" s="4" t="s">
        <v>53</v>
      </c>
      <c r="O104" s="4" t="s">
        <v>53</v>
      </c>
      <c r="P104" s="4" t="s">
        <v>53</v>
      </c>
      <c r="Q104" s="4" t="s">
        <v>53</v>
      </c>
      <c r="R104" s="4" t="s">
        <v>89</v>
      </c>
      <c r="T104" s="4" t="s">
        <v>53</v>
      </c>
      <c r="V104" s="4" t="s">
        <v>53</v>
      </c>
      <c r="W104" s="4" t="s">
        <v>53</v>
      </c>
      <c r="AA104" s="4" t="s">
        <v>53</v>
      </c>
      <c r="AB104" s="4" t="s">
        <v>53</v>
      </c>
      <c r="AE104" s="4" t="s">
        <v>53</v>
      </c>
      <c r="AL104" s="3">
        <f t="shared" si="4"/>
        <v>16</v>
      </c>
      <c r="AM104" s="8">
        <f t="shared" si="5"/>
        <v>133.28</v>
      </c>
    </row>
    <row r="105">
      <c r="A105" s="30">
        <f>A104+2</f>
        <v>45975</v>
      </c>
      <c r="B105" s="4" t="s">
        <v>51</v>
      </c>
      <c r="C105" s="4" t="s">
        <v>52</v>
      </c>
      <c r="D105" s="26">
        <v>7.0</v>
      </c>
      <c r="E105" s="27">
        <v>7.07</v>
      </c>
      <c r="F105" s="4" t="s">
        <v>53</v>
      </c>
      <c r="G105" s="4" t="s">
        <v>53</v>
      </c>
      <c r="L105" s="4" t="s">
        <v>53</v>
      </c>
      <c r="P105" s="4" t="s">
        <v>53</v>
      </c>
      <c r="Z105" s="4" t="s">
        <v>53</v>
      </c>
      <c r="AE105" s="4" t="s">
        <v>53</v>
      </c>
      <c r="AL105" s="3">
        <f t="shared" si="4"/>
        <v>6</v>
      </c>
      <c r="AM105" s="8">
        <f t="shared" si="5"/>
        <v>42.42</v>
      </c>
    </row>
    <row r="106">
      <c r="A106" s="30">
        <f>A105+5</f>
        <v>45980</v>
      </c>
      <c r="B106" s="4" t="s">
        <v>56</v>
      </c>
      <c r="C106" s="4" t="s">
        <v>59</v>
      </c>
      <c r="D106" s="26">
        <v>8.0</v>
      </c>
      <c r="E106" s="34">
        <v>8.65</v>
      </c>
      <c r="F106" s="4" t="s">
        <v>53</v>
      </c>
      <c r="G106" s="4" t="s">
        <v>53</v>
      </c>
      <c r="H106" s="4" t="s">
        <v>53</v>
      </c>
      <c r="I106" s="4" t="s">
        <v>53</v>
      </c>
      <c r="K106" s="4" t="s">
        <v>53</v>
      </c>
      <c r="L106" s="4" t="s">
        <v>53</v>
      </c>
      <c r="M106" s="4" t="s">
        <v>53</v>
      </c>
      <c r="O106" s="4" t="s">
        <v>53</v>
      </c>
      <c r="P106" s="4" t="s">
        <v>53</v>
      </c>
      <c r="R106" s="4" t="s">
        <v>53</v>
      </c>
      <c r="T106" s="4" t="s">
        <v>53</v>
      </c>
      <c r="V106" s="4" t="s">
        <v>53</v>
      </c>
      <c r="W106" s="4" t="s">
        <v>53</v>
      </c>
      <c r="AA106" s="4" t="s">
        <v>53</v>
      </c>
      <c r="AB106" s="4" t="s">
        <v>89</v>
      </c>
      <c r="AE106" s="4" t="s">
        <v>53</v>
      </c>
      <c r="AF106" s="4" t="s">
        <v>53</v>
      </c>
      <c r="AI106" s="4" t="s">
        <v>53</v>
      </c>
      <c r="AJ106" s="4" t="s">
        <v>53</v>
      </c>
      <c r="AL106" s="3">
        <f t="shared" si="4"/>
        <v>18</v>
      </c>
      <c r="AM106" s="8">
        <f t="shared" si="5"/>
        <v>155.7</v>
      </c>
    </row>
    <row r="107">
      <c r="A107" s="30">
        <f>A106+2</f>
        <v>45982</v>
      </c>
      <c r="B107" s="4" t="s">
        <v>60</v>
      </c>
      <c r="C107" s="4" t="s">
        <v>61</v>
      </c>
      <c r="D107" s="26">
        <v>12.5</v>
      </c>
      <c r="E107" s="27">
        <v>12.3</v>
      </c>
      <c r="G107" s="4" t="s">
        <v>53</v>
      </c>
      <c r="H107" s="4" t="s">
        <v>53</v>
      </c>
      <c r="L107" s="4" t="s">
        <v>53</v>
      </c>
      <c r="P107" s="4" t="s">
        <v>53</v>
      </c>
      <c r="W107" s="4" t="s">
        <v>53</v>
      </c>
      <c r="AE107" s="4" t="s">
        <v>53</v>
      </c>
      <c r="AL107" s="3">
        <f t="shared" si="4"/>
        <v>6</v>
      </c>
      <c r="AM107" s="19">
        <f t="shared" si="5"/>
        <v>73.8</v>
      </c>
    </row>
    <row r="108">
      <c r="A108" s="30">
        <f>A107+5</f>
        <v>45987</v>
      </c>
      <c r="B108" s="4" t="s">
        <v>56</v>
      </c>
      <c r="C108" s="4" t="s">
        <v>62</v>
      </c>
      <c r="D108" s="26">
        <v>12.5</v>
      </c>
      <c r="E108" s="34">
        <v>12.34</v>
      </c>
      <c r="F108" s="4" t="s">
        <v>53</v>
      </c>
      <c r="G108" s="4" t="s">
        <v>53</v>
      </c>
      <c r="H108" s="4" t="s">
        <v>53</v>
      </c>
      <c r="K108" s="4" t="s">
        <v>53</v>
      </c>
      <c r="L108" s="4" t="s">
        <v>53</v>
      </c>
      <c r="M108" s="4" t="s">
        <v>53</v>
      </c>
      <c r="P108" s="4" t="s">
        <v>53</v>
      </c>
      <c r="R108" s="4" t="s">
        <v>53</v>
      </c>
      <c r="T108" s="4" t="s">
        <v>53</v>
      </c>
      <c r="V108" s="4" t="s">
        <v>53</v>
      </c>
      <c r="W108" s="4" t="s">
        <v>53</v>
      </c>
      <c r="AB108" s="4" t="s">
        <v>89</v>
      </c>
      <c r="AE108" s="4" t="s">
        <v>53</v>
      </c>
      <c r="AF108" s="4" t="s">
        <v>53</v>
      </c>
      <c r="AI108" s="4" t="s">
        <v>53</v>
      </c>
      <c r="AJ108" s="4" t="s">
        <v>53</v>
      </c>
      <c r="AL108" s="3">
        <f t="shared" si="4"/>
        <v>15</v>
      </c>
      <c r="AM108" s="19">
        <f t="shared" si="5"/>
        <v>185.1</v>
      </c>
    </row>
    <row r="109">
      <c r="A109" s="30">
        <f>A108+2</f>
        <v>45989</v>
      </c>
      <c r="B109" s="4" t="s">
        <v>51</v>
      </c>
      <c r="C109" s="4" t="s">
        <v>52</v>
      </c>
      <c r="D109" s="26">
        <v>7.0</v>
      </c>
      <c r="E109" s="34">
        <v>7.02</v>
      </c>
      <c r="F109" s="4" t="s">
        <v>53</v>
      </c>
      <c r="G109" s="4" t="s">
        <v>89</v>
      </c>
      <c r="H109" s="4" t="s">
        <v>53</v>
      </c>
      <c r="L109" s="4" t="s">
        <v>53</v>
      </c>
      <c r="P109" s="4" t="s">
        <v>53</v>
      </c>
      <c r="AE109" s="4" t="s">
        <v>53</v>
      </c>
      <c r="AK109" s="4">
        <v>2.0</v>
      </c>
      <c r="AL109" s="3">
        <f t="shared" si="4"/>
        <v>7</v>
      </c>
      <c r="AM109" s="19">
        <f t="shared" si="5"/>
        <v>49.14</v>
      </c>
    </row>
    <row r="110">
      <c r="A110" s="30">
        <f>A109+5</f>
        <v>45994</v>
      </c>
      <c r="B110" s="4" t="s">
        <v>56</v>
      </c>
      <c r="C110" s="4" t="s">
        <v>59</v>
      </c>
      <c r="D110" s="26">
        <v>8.0</v>
      </c>
      <c r="E110" s="27">
        <v>8.62</v>
      </c>
      <c r="F110" s="4" t="s">
        <v>53</v>
      </c>
      <c r="G110" s="4" t="s">
        <v>53</v>
      </c>
      <c r="H110" s="4" t="s">
        <v>53</v>
      </c>
      <c r="K110" s="4" t="s">
        <v>53</v>
      </c>
      <c r="L110" s="4" t="s">
        <v>53</v>
      </c>
      <c r="M110" s="4" t="s">
        <v>53</v>
      </c>
      <c r="N110" s="4" t="s">
        <v>53</v>
      </c>
      <c r="O110" s="4" t="s">
        <v>53</v>
      </c>
      <c r="P110" s="4" t="s">
        <v>53</v>
      </c>
      <c r="R110" s="4" t="s">
        <v>53</v>
      </c>
      <c r="T110" s="4" t="s">
        <v>53</v>
      </c>
      <c r="V110" s="4" t="s">
        <v>53</v>
      </c>
      <c r="W110" s="4" t="s">
        <v>53</v>
      </c>
      <c r="Z110" s="4" t="s">
        <v>53</v>
      </c>
      <c r="AE110" s="4" t="s">
        <v>53</v>
      </c>
      <c r="AF110" s="4" t="s">
        <v>53</v>
      </c>
      <c r="AJ110" s="4" t="s">
        <v>53</v>
      </c>
      <c r="AK110" s="4">
        <v>1.0</v>
      </c>
      <c r="AL110" s="3">
        <f t="shared" si="4"/>
        <v>18</v>
      </c>
      <c r="AM110" s="19">
        <f t="shared" si="5"/>
        <v>155.16</v>
      </c>
    </row>
    <row r="111">
      <c r="A111" s="30">
        <f>A110+2</f>
        <v>45996</v>
      </c>
      <c r="B111" s="4" t="s">
        <v>51</v>
      </c>
      <c r="C111" s="4" t="s">
        <v>52</v>
      </c>
      <c r="D111" s="26">
        <v>7.0</v>
      </c>
      <c r="E111" s="27">
        <v>7.05</v>
      </c>
      <c r="F111" s="4" t="s">
        <v>53</v>
      </c>
      <c r="G111" s="4" t="s">
        <v>53</v>
      </c>
      <c r="H111" s="4" t="s">
        <v>53</v>
      </c>
      <c r="L111" s="4" t="s">
        <v>53</v>
      </c>
      <c r="AE111" s="4" t="s">
        <v>53</v>
      </c>
      <c r="AL111" s="3">
        <f t="shared" si="4"/>
        <v>5</v>
      </c>
      <c r="AM111" s="19">
        <f t="shared" si="5"/>
        <v>35.25</v>
      </c>
    </row>
    <row r="112">
      <c r="A112" s="30">
        <f>A111+5</f>
        <v>46001</v>
      </c>
      <c r="B112" s="4" t="s">
        <v>56</v>
      </c>
      <c r="C112" s="4" t="s">
        <v>57</v>
      </c>
      <c r="D112" s="26">
        <v>8.0</v>
      </c>
      <c r="E112" s="34">
        <v>7.93</v>
      </c>
      <c r="F112" s="4" t="s">
        <v>53</v>
      </c>
      <c r="H112" s="4" t="s">
        <v>53</v>
      </c>
      <c r="I112" s="4" t="s">
        <v>53</v>
      </c>
      <c r="K112" s="4" t="s">
        <v>53</v>
      </c>
      <c r="L112" s="4" t="s">
        <v>53</v>
      </c>
      <c r="M112" s="4" t="s">
        <v>53</v>
      </c>
      <c r="N112" s="4" t="s">
        <v>53</v>
      </c>
      <c r="O112" s="4" t="s">
        <v>53</v>
      </c>
      <c r="P112" s="4" t="s">
        <v>53</v>
      </c>
      <c r="T112" s="4" t="s">
        <v>53</v>
      </c>
      <c r="V112" s="4" t="s">
        <v>53</v>
      </c>
      <c r="W112" s="4" t="s">
        <v>53</v>
      </c>
      <c r="AB112" s="4" t="s">
        <v>53</v>
      </c>
      <c r="AE112" s="4" t="s">
        <v>53</v>
      </c>
      <c r="AF112" s="4" t="s">
        <v>53</v>
      </c>
      <c r="AI112" s="4" t="s">
        <v>53</v>
      </c>
      <c r="AJ112" s="4" t="s">
        <v>53</v>
      </c>
      <c r="AL112" s="3">
        <f t="shared" si="4"/>
        <v>17</v>
      </c>
      <c r="AM112" s="19">
        <f t="shared" si="5"/>
        <v>134.81</v>
      </c>
    </row>
    <row r="113">
      <c r="A113" s="30">
        <f>A112+2</f>
        <v>46003</v>
      </c>
      <c r="B113" s="4" t="s">
        <v>51</v>
      </c>
      <c r="C113" s="4" t="s">
        <v>52</v>
      </c>
      <c r="D113" s="26">
        <v>7.0</v>
      </c>
      <c r="E113" s="34">
        <v>5.01</v>
      </c>
      <c r="F113" s="4" t="s">
        <v>53</v>
      </c>
      <c r="L113" s="4" t="s">
        <v>53</v>
      </c>
      <c r="P113" s="4" t="s">
        <v>53</v>
      </c>
      <c r="Z113" s="4" t="s">
        <v>53</v>
      </c>
      <c r="AE113" s="4" t="s">
        <v>53</v>
      </c>
      <c r="AL113" s="3">
        <f t="shared" si="4"/>
        <v>5</v>
      </c>
      <c r="AM113" s="19">
        <f t="shared" si="5"/>
        <v>25.05</v>
      </c>
    </row>
    <row r="114">
      <c r="A114" s="31">
        <v>46005.0</v>
      </c>
      <c r="B114" s="4" t="s">
        <v>76</v>
      </c>
      <c r="C114" s="4" t="s">
        <v>97</v>
      </c>
      <c r="D114" s="26">
        <v>42.2</v>
      </c>
      <c r="E114" s="27">
        <v>42.22</v>
      </c>
      <c r="F114" s="4" t="s">
        <v>53</v>
      </c>
      <c r="H114" s="4" t="s">
        <v>53</v>
      </c>
      <c r="P114" s="4" t="s">
        <v>53</v>
      </c>
      <c r="AE114" s="4" t="s">
        <v>53</v>
      </c>
      <c r="AL114" s="3">
        <f t="shared" si="4"/>
        <v>4</v>
      </c>
      <c r="AM114" s="19">
        <f t="shared" si="5"/>
        <v>168.88</v>
      </c>
    </row>
    <row r="115">
      <c r="A115" s="31">
        <v>46005.0</v>
      </c>
      <c r="B115" s="4" t="s">
        <v>76</v>
      </c>
      <c r="C115" s="4" t="s">
        <v>98</v>
      </c>
      <c r="D115" s="26">
        <v>21.1</v>
      </c>
      <c r="E115" s="27">
        <v>21.26</v>
      </c>
      <c r="G115" s="4" t="s">
        <v>53</v>
      </c>
      <c r="K115" s="4" t="s">
        <v>53</v>
      </c>
      <c r="M115" s="4" t="s">
        <v>53</v>
      </c>
      <c r="N115" s="4" t="s">
        <v>53</v>
      </c>
      <c r="R115" s="4" t="s">
        <v>53</v>
      </c>
      <c r="T115" s="4" t="s">
        <v>53</v>
      </c>
      <c r="Z115" s="4" t="s">
        <v>53</v>
      </c>
      <c r="AA115" s="4" t="s">
        <v>53</v>
      </c>
      <c r="AF115" s="4" t="s">
        <v>53</v>
      </c>
      <c r="AL115" s="3">
        <f t="shared" si="4"/>
        <v>9</v>
      </c>
      <c r="AM115" s="19">
        <f t="shared" si="5"/>
        <v>191.34</v>
      </c>
    </row>
    <row r="116">
      <c r="A116" s="31">
        <v>46005.0</v>
      </c>
      <c r="B116" s="4" t="s">
        <v>76</v>
      </c>
      <c r="C116" s="4" t="s">
        <v>99</v>
      </c>
      <c r="D116" s="26">
        <v>10.0</v>
      </c>
      <c r="E116" s="27">
        <v>14.11</v>
      </c>
      <c r="I116" s="4" t="s">
        <v>53</v>
      </c>
      <c r="AI116" s="4" t="s">
        <v>53</v>
      </c>
      <c r="AL116" s="3">
        <f t="shared" si="4"/>
        <v>2</v>
      </c>
      <c r="AM116" s="19">
        <f t="shared" si="5"/>
        <v>28.22</v>
      </c>
    </row>
    <row r="117">
      <c r="A117" s="30">
        <f>A113+5</f>
        <v>46008</v>
      </c>
      <c r="B117" s="4" t="s">
        <v>56</v>
      </c>
      <c r="C117" s="4" t="s">
        <v>59</v>
      </c>
      <c r="D117" s="26">
        <v>8.0</v>
      </c>
      <c r="E117" s="34">
        <v>8.91</v>
      </c>
      <c r="F117" s="4" t="s">
        <v>53</v>
      </c>
      <c r="G117" s="4" t="s">
        <v>53</v>
      </c>
      <c r="H117" s="4" t="s">
        <v>53</v>
      </c>
      <c r="I117" s="4" t="s">
        <v>53</v>
      </c>
      <c r="K117" s="4" t="s">
        <v>53</v>
      </c>
      <c r="M117" s="4" t="s">
        <v>53</v>
      </c>
      <c r="T117" s="4" t="s">
        <v>53</v>
      </c>
      <c r="V117" s="4" t="s">
        <v>53</v>
      </c>
      <c r="W117" s="4" t="s">
        <v>53</v>
      </c>
      <c r="Z117" s="4" t="s">
        <v>53</v>
      </c>
      <c r="AB117" s="4" t="s">
        <v>53</v>
      </c>
      <c r="AE117" s="4" t="s">
        <v>53</v>
      </c>
      <c r="AI117" s="4" t="s">
        <v>53</v>
      </c>
      <c r="AJ117" s="4" t="s">
        <v>89</v>
      </c>
      <c r="AL117" s="3">
        <f t="shared" si="4"/>
        <v>13</v>
      </c>
      <c r="AM117" s="19">
        <f t="shared" si="5"/>
        <v>115.83</v>
      </c>
    </row>
    <row r="118">
      <c r="A118" s="30">
        <f>A117+2</f>
        <v>46010</v>
      </c>
      <c r="B118" s="4" t="s">
        <v>60</v>
      </c>
      <c r="C118" s="4" t="s">
        <v>61</v>
      </c>
      <c r="D118" s="26">
        <v>12.5</v>
      </c>
      <c r="E118" s="34">
        <v>12.65</v>
      </c>
      <c r="F118" s="4" t="s">
        <v>53</v>
      </c>
      <c r="G118" s="4" t="s">
        <v>53</v>
      </c>
      <c r="W118" s="4" t="s">
        <v>53</v>
      </c>
      <c r="AE118" s="4" t="s">
        <v>53</v>
      </c>
      <c r="AL118" s="3">
        <f t="shared" si="4"/>
        <v>4</v>
      </c>
      <c r="AM118" s="19">
        <f t="shared" si="5"/>
        <v>50.6</v>
      </c>
    </row>
    <row r="119">
      <c r="A119" s="30">
        <f>A118+5</f>
        <v>46015</v>
      </c>
      <c r="B119" s="4" t="s">
        <v>56</v>
      </c>
      <c r="C119" s="4" t="s">
        <v>62</v>
      </c>
      <c r="D119" s="26">
        <v>12.5</v>
      </c>
      <c r="E119" s="27">
        <v>9.8</v>
      </c>
      <c r="G119" s="4" t="s">
        <v>53</v>
      </c>
      <c r="H119" s="4" t="s">
        <v>53</v>
      </c>
      <c r="K119" s="4" t="s">
        <v>53</v>
      </c>
      <c r="L119" s="4" t="s">
        <v>53</v>
      </c>
      <c r="M119" s="4" t="s">
        <v>53</v>
      </c>
      <c r="O119" s="4" t="s">
        <v>53</v>
      </c>
      <c r="Q119" s="4" t="s">
        <v>53</v>
      </c>
      <c r="T119" s="4" t="s">
        <v>53</v>
      </c>
      <c r="V119" s="4" t="s">
        <v>53</v>
      </c>
      <c r="AE119" s="4" t="s">
        <v>53</v>
      </c>
      <c r="AI119" s="4" t="s">
        <v>53</v>
      </c>
      <c r="AL119" s="3">
        <f t="shared" si="4"/>
        <v>11</v>
      </c>
      <c r="AM119" s="19">
        <f t="shared" si="5"/>
        <v>107.8</v>
      </c>
    </row>
    <row r="120">
      <c r="A120" s="32">
        <f>A119+2</f>
        <v>46017</v>
      </c>
      <c r="B120" s="4" t="s">
        <v>51</v>
      </c>
      <c r="C120" s="4" t="s">
        <v>52</v>
      </c>
      <c r="D120" s="26">
        <v>7.0</v>
      </c>
      <c r="E120" s="27">
        <v>7.02</v>
      </c>
      <c r="L120" s="4" t="s">
        <v>53</v>
      </c>
      <c r="AE120" s="4" t="s">
        <v>53</v>
      </c>
      <c r="AL120" s="3">
        <f t="shared" si="4"/>
        <v>2</v>
      </c>
      <c r="AM120" s="19">
        <f t="shared" si="5"/>
        <v>14.04</v>
      </c>
    </row>
    <row r="121">
      <c r="A121" s="30">
        <f>A120+5</f>
        <v>46022</v>
      </c>
      <c r="B121" s="4" t="s">
        <v>56</v>
      </c>
      <c r="C121" s="4" t="s">
        <v>59</v>
      </c>
      <c r="D121" s="26">
        <v>8.0</v>
      </c>
      <c r="E121" s="34">
        <v>8.73</v>
      </c>
      <c r="F121" s="4" t="s">
        <v>53</v>
      </c>
      <c r="G121" s="4" t="s">
        <v>53</v>
      </c>
      <c r="H121" s="4" t="s">
        <v>53</v>
      </c>
      <c r="K121" s="4" t="s">
        <v>53</v>
      </c>
      <c r="L121" s="4" t="s">
        <v>53</v>
      </c>
      <c r="M121" s="4" t="s">
        <v>53</v>
      </c>
      <c r="O121" s="4" t="s">
        <v>53</v>
      </c>
      <c r="V121" s="4" t="s">
        <v>53</v>
      </c>
      <c r="AA121" s="4" t="s">
        <v>53</v>
      </c>
      <c r="AE121" s="4" t="s">
        <v>53</v>
      </c>
      <c r="AF121" s="4" t="s">
        <v>53</v>
      </c>
      <c r="AI121" s="4" t="s">
        <v>53</v>
      </c>
      <c r="AL121" s="3">
        <f t="shared" si="4"/>
        <v>12</v>
      </c>
      <c r="AM121" s="19">
        <f t="shared" si="5"/>
        <v>104.76</v>
      </c>
    </row>
    <row r="122">
      <c r="D122" s="42"/>
      <c r="E122" s="43"/>
      <c r="AM122" s="19"/>
    </row>
    <row r="123">
      <c r="D123" s="42"/>
      <c r="E123" s="43"/>
      <c r="AM123" s="19"/>
    </row>
    <row r="124">
      <c r="D124" s="42"/>
      <c r="E124" s="43"/>
      <c r="AM124" s="19"/>
    </row>
    <row r="125">
      <c r="D125" s="42"/>
      <c r="E125" s="43"/>
      <c r="AM125" s="19"/>
    </row>
    <row r="126">
      <c r="D126" s="42"/>
      <c r="E126" s="43"/>
      <c r="AM126" s="19"/>
    </row>
    <row r="127">
      <c r="D127" s="42"/>
      <c r="E127" s="43"/>
      <c r="AM127" s="19"/>
    </row>
    <row r="128">
      <c r="D128" s="42"/>
      <c r="E128" s="43"/>
      <c r="AM128" s="19"/>
    </row>
    <row r="129">
      <c r="D129" s="42"/>
      <c r="E129" s="43"/>
      <c r="AM129" s="19"/>
    </row>
    <row r="130">
      <c r="D130" s="42"/>
      <c r="E130" s="43"/>
      <c r="AM130" s="19"/>
    </row>
    <row r="131">
      <c r="D131" s="42"/>
      <c r="E131" s="43"/>
      <c r="AM131" s="19"/>
    </row>
    <row r="132">
      <c r="D132" s="42"/>
      <c r="E132" s="43"/>
      <c r="AM132" s="19"/>
    </row>
    <row r="133">
      <c r="D133" s="42"/>
      <c r="E133" s="43"/>
      <c r="AM133" s="19"/>
    </row>
    <row r="134">
      <c r="D134" s="42"/>
      <c r="E134" s="43"/>
      <c r="AM134" s="19"/>
    </row>
    <row r="135">
      <c r="D135" s="42"/>
      <c r="E135" s="43"/>
      <c r="AM135" s="19"/>
    </row>
    <row r="136">
      <c r="D136" s="42"/>
      <c r="E136" s="43"/>
      <c r="AM136" s="19"/>
    </row>
    <row r="137">
      <c r="D137" s="42"/>
      <c r="E137" s="43"/>
      <c r="AM137" s="19"/>
    </row>
    <row r="138">
      <c r="D138" s="42"/>
      <c r="E138" s="43"/>
      <c r="AM138" s="19"/>
    </row>
    <row r="139">
      <c r="D139" s="42"/>
      <c r="E139" s="43"/>
      <c r="AM139" s="19"/>
    </row>
    <row r="140">
      <c r="D140" s="42"/>
      <c r="E140" s="43"/>
      <c r="AM140" s="19"/>
    </row>
    <row r="141">
      <c r="D141" s="42"/>
      <c r="E141" s="43"/>
      <c r="AM141" s="19"/>
    </row>
    <row r="142">
      <c r="D142" s="42"/>
      <c r="E142" s="43"/>
      <c r="AM142" s="19"/>
    </row>
    <row r="143">
      <c r="D143" s="42"/>
      <c r="E143" s="43"/>
      <c r="AM143" s="19"/>
    </row>
    <row r="144">
      <c r="D144" s="42"/>
      <c r="E144" s="43"/>
      <c r="AM144" s="19"/>
    </row>
    <row r="145">
      <c r="D145" s="42"/>
      <c r="E145" s="43"/>
      <c r="AM145" s="19"/>
    </row>
    <row r="146">
      <c r="D146" s="42"/>
      <c r="E146" s="43"/>
      <c r="AM146" s="19"/>
    </row>
    <row r="147">
      <c r="D147" s="42"/>
      <c r="E147" s="43"/>
      <c r="AM147" s="19"/>
    </row>
    <row r="148">
      <c r="D148" s="42"/>
      <c r="E148" s="43"/>
      <c r="AM148" s="19"/>
    </row>
    <row r="149">
      <c r="D149" s="42"/>
      <c r="E149" s="43"/>
      <c r="AM149" s="19"/>
    </row>
    <row r="150">
      <c r="D150" s="42"/>
      <c r="E150" s="43"/>
      <c r="AM150" s="19"/>
    </row>
    <row r="151">
      <c r="D151" s="42"/>
      <c r="E151" s="43"/>
      <c r="AM151" s="19"/>
    </row>
    <row r="152">
      <c r="D152" s="42"/>
      <c r="E152" s="43"/>
      <c r="AM152" s="19"/>
    </row>
    <row r="153">
      <c r="D153" s="42"/>
      <c r="E153" s="43"/>
      <c r="AM153" s="19"/>
    </row>
    <row r="154">
      <c r="D154" s="42"/>
      <c r="E154" s="43"/>
      <c r="AM154" s="19"/>
    </row>
    <row r="155">
      <c r="D155" s="42"/>
      <c r="E155" s="43"/>
      <c r="AM155" s="19"/>
    </row>
    <row r="156">
      <c r="D156" s="42"/>
      <c r="E156" s="43"/>
      <c r="AM156" s="19"/>
    </row>
    <row r="157">
      <c r="D157" s="42"/>
      <c r="E157" s="43"/>
      <c r="AM157" s="19"/>
    </row>
    <row r="158">
      <c r="D158" s="42"/>
      <c r="E158" s="43"/>
      <c r="AM158" s="19"/>
    </row>
    <row r="159">
      <c r="D159" s="42"/>
      <c r="E159" s="43"/>
      <c r="AM159" s="19"/>
    </row>
    <row r="160">
      <c r="D160" s="42"/>
      <c r="E160" s="43"/>
      <c r="AM160" s="19"/>
    </row>
    <row r="161">
      <c r="D161" s="42"/>
      <c r="E161" s="43"/>
      <c r="AM161" s="19"/>
    </row>
    <row r="162">
      <c r="D162" s="42"/>
      <c r="E162" s="43"/>
      <c r="AM162" s="19"/>
    </row>
    <row r="163">
      <c r="D163" s="42"/>
      <c r="E163" s="43"/>
      <c r="AM163" s="19"/>
    </row>
    <row r="164">
      <c r="D164" s="42"/>
      <c r="E164" s="43"/>
      <c r="AM164" s="19"/>
    </row>
    <row r="165">
      <c r="D165" s="42"/>
      <c r="E165" s="43"/>
      <c r="AM165" s="19"/>
    </row>
    <row r="166">
      <c r="D166" s="42"/>
      <c r="E166" s="43"/>
      <c r="AM166" s="19"/>
    </row>
    <row r="167">
      <c r="D167" s="42"/>
      <c r="E167" s="43"/>
      <c r="AM167" s="19"/>
    </row>
    <row r="168">
      <c r="D168" s="42"/>
      <c r="E168" s="43"/>
      <c r="AM168" s="19"/>
    </row>
    <row r="169">
      <c r="D169" s="42"/>
      <c r="E169" s="43"/>
      <c r="AM169" s="19"/>
    </row>
    <row r="170">
      <c r="D170" s="42"/>
      <c r="E170" s="43"/>
      <c r="AM170" s="19"/>
    </row>
    <row r="171">
      <c r="D171" s="42"/>
      <c r="E171" s="43"/>
      <c r="AM171" s="19"/>
    </row>
    <row r="172">
      <c r="D172" s="42"/>
      <c r="E172" s="43"/>
      <c r="AM172" s="19"/>
    </row>
    <row r="173">
      <c r="D173" s="42"/>
      <c r="E173" s="43"/>
      <c r="AM173" s="19"/>
    </row>
    <row r="174">
      <c r="D174" s="42"/>
      <c r="E174" s="43"/>
      <c r="AM174" s="19"/>
    </row>
    <row r="175">
      <c r="D175" s="42"/>
      <c r="E175" s="43"/>
      <c r="AM175" s="19"/>
    </row>
    <row r="176">
      <c r="D176" s="42"/>
      <c r="E176" s="43"/>
      <c r="AM176" s="19"/>
    </row>
    <row r="177">
      <c r="D177" s="42"/>
      <c r="E177" s="43"/>
      <c r="AM177" s="19"/>
    </row>
    <row r="178">
      <c r="D178" s="42"/>
      <c r="E178" s="43"/>
      <c r="AM178" s="19"/>
    </row>
    <row r="179">
      <c r="D179" s="42"/>
      <c r="E179" s="43"/>
      <c r="AM179" s="19"/>
    </row>
    <row r="180">
      <c r="D180" s="42"/>
      <c r="E180" s="43"/>
      <c r="AM180" s="19"/>
    </row>
    <row r="181">
      <c r="D181" s="42"/>
      <c r="E181" s="43"/>
      <c r="AM181" s="19"/>
    </row>
    <row r="182">
      <c r="D182" s="42"/>
      <c r="E182" s="43"/>
      <c r="AM182" s="19"/>
    </row>
    <row r="183">
      <c r="D183" s="42"/>
      <c r="E183" s="43"/>
      <c r="AM183" s="19"/>
    </row>
    <row r="184">
      <c r="D184" s="42"/>
      <c r="E184" s="43"/>
      <c r="AM184" s="19"/>
    </row>
    <row r="185">
      <c r="D185" s="42"/>
      <c r="E185" s="43"/>
      <c r="AM185" s="19"/>
    </row>
    <row r="186">
      <c r="D186" s="42"/>
      <c r="E186" s="43"/>
      <c r="AM186" s="19"/>
    </row>
    <row r="187">
      <c r="D187" s="42"/>
      <c r="E187" s="43"/>
      <c r="AM187" s="19"/>
    </row>
    <row r="188">
      <c r="D188" s="42"/>
      <c r="E188" s="43"/>
      <c r="AM188" s="19"/>
    </row>
    <row r="189">
      <c r="D189" s="42"/>
      <c r="E189" s="43"/>
      <c r="AM189" s="19"/>
    </row>
    <row r="190">
      <c r="D190" s="42"/>
      <c r="E190" s="43"/>
      <c r="AM190" s="19"/>
    </row>
    <row r="191">
      <c r="D191" s="42"/>
      <c r="E191" s="43"/>
      <c r="AM191" s="19"/>
    </row>
    <row r="192">
      <c r="D192" s="42"/>
      <c r="E192" s="43"/>
      <c r="AM192" s="19"/>
    </row>
    <row r="193">
      <c r="D193" s="42"/>
      <c r="E193" s="43"/>
      <c r="AM193" s="19"/>
    </row>
    <row r="194">
      <c r="D194" s="42"/>
      <c r="E194" s="43"/>
      <c r="AM194" s="19"/>
    </row>
    <row r="195">
      <c r="D195" s="42"/>
      <c r="E195" s="43"/>
      <c r="AM195" s="19"/>
    </row>
    <row r="196">
      <c r="D196" s="42"/>
      <c r="E196" s="43"/>
      <c r="AM196" s="19"/>
    </row>
    <row r="197">
      <c r="D197" s="42"/>
      <c r="E197" s="43"/>
      <c r="AM197" s="19"/>
    </row>
    <row r="198">
      <c r="D198" s="42"/>
      <c r="E198" s="43"/>
      <c r="AM198" s="19"/>
    </row>
    <row r="199">
      <c r="D199" s="42"/>
      <c r="E199" s="43"/>
      <c r="AM199" s="19"/>
    </row>
    <row r="200">
      <c r="D200" s="42"/>
      <c r="E200" s="43"/>
      <c r="AM200" s="19"/>
    </row>
    <row r="201">
      <c r="D201" s="42"/>
      <c r="E201" s="43"/>
      <c r="AM201" s="19"/>
    </row>
    <row r="202">
      <c r="D202" s="42"/>
      <c r="E202" s="43"/>
      <c r="AM202" s="19"/>
    </row>
    <row r="203">
      <c r="D203" s="42"/>
      <c r="E203" s="43"/>
      <c r="AM203" s="19"/>
    </row>
    <row r="204">
      <c r="D204" s="42"/>
      <c r="E204" s="43"/>
      <c r="AM204" s="19"/>
    </row>
    <row r="205">
      <c r="D205" s="42"/>
      <c r="E205" s="43"/>
      <c r="AM205" s="19"/>
    </row>
    <row r="206">
      <c r="D206" s="42"/>
      <c r="E206" s="43"/>
      <c r="AM206" s="19"/>
    </row>
    <row r="207">
      <c r="D207" s="42"/>
      <c r="E207" s="43"/>
      <c r="AM207" s="19"/>
    </row>
    <row r="208">
      <c r="D208" s="42"/>
      <c r="E208" s="43"/>
      <c r="AM208" s="19"/>
    </row>
    <row r="209">
      <c r="D209" s="42"/>
      <c r="E209" s="43"/>
      <c r="AM209" s="19"/>
    </row>
    <row r="210">
      <c r="D210" s="42"/>
      <c r="E210" s="43"/>
      <c r="AM210" s="19"/>
    </row>
    <row r="211">
      <c r="D211" s="42"/>
      <c r="E211" s="43"/>
      <c r="AM211" s="19"/>
    </row>
    <row r="212">
      <c r="D212" s="42"/>
      <c r="E212" s="43"/>
      <c r="AM212" s="19"/>
    </row>
    <row r="213">
      <c r="D213" s="42"/>
      <c r="E213" s="43"/>
      <c r="AM213" s="19"/>
    </row>
    <row r="214">
      <c r="D214" s="42"/>
      <c r="E214" s="43"/>
      <c r="AM214" s="19"/>
    </row>
    <row r="215">
      <c r="D215" s="42"/>
      <c r="E215" s="43"/>
      <c r="AM215" s="19"/>
    </row>
    <row r="216">
      <c r="D216" s="42"/>
      <c r="E216" s="43"/>
      <c r="AM216" s="19"/>
    </row>
    <row r="217">
      <c r="D217" s="42"/>
      <c r="E217" s="43"/>
      <c r="AM217" s="19"/>
    </row>
    <row r="218">
      <c r="D218" s="42"/>
      <c r="E218" s="43"/>
      <c r="AM218" s="19"/>
    </row>
    <row r="219">
      <c r="D219" s="42"/>
      <c r="E219" s="43"/>
      <c r="AM219" s="19"/>
    </row>
    <row r="220">
      <c r="D220" s="42"/>
      <c r="E220" s="43"/>
      <c r="AM220" s="19"/>
    </row>
    <row r="221">
      <c r="D221" s="42"/>
      <c r="E221" s="43"/>
      <c r="AM221" s="19"/>
    </row>
    <row r="222">
      <c r="D222" s="42"/>
      <c r="E222" s="43"/>
      <c r="AM222" s="19"/>
    </row>
    <row r="223">
      <c r="D223" s="42"/>
      <c r="E223" s="43"/>
      <c r="AM223" s="19"/>
    </row>
    <row r="224">
      <c r="D224" s="42"/>
      <c r="E224" s="43"/>
      <c r="AM224" s="19"/>
    </row>
    <row r="225">
      <c r="D225" s="42"/>
      <c r="E225" s="43"/>
      <c r="AM225" s="19"/>
    </row>
    <row r="226">
      <c r="D226" s="42"/>
      <c r="E226" s="43"/>
      <c r="AM226" s="19"/>
    </row>
    <row r="227">
      <c r="D227" s="42"/>
      <c r="E227" s="43"/>
      <c r="AM227" s="19"/>
    </row>
    <row r="228">
      <c r="D228" s="42"/>
      <c r="E228" s="43"/>
      <c r="AM228" s="19"/>
    </row>
    <row r="229">
      <c r="D229" s="42"/>
      <c r="E229" s="43"/>
      <c r="AM229" s="19"/>
    </row>
    <row r="230">
      <c r="D230" s="42"/>
      <c r="E230" s="43"/>
      <c r="AM230" s="19"/>
    </row>
    <row r="231">
      <c r="D231" s="42"/>
      <c r="E231" s="43"/>
      <c r="AM231" s="19"/>
    </row>
    <row r="232">
      <c r="D232" s="42"/>
      <c r="E232" s="43"/>
      <c r="AM232" s="19"/>
    </row>
    <row r="233">
      <c r="D233" s="42"/>
      <c r="E233" s="43"/>
      <c r="AM233" s="19"/>
    </row>
    <row r="234">
      <c r="D234" s="42"/>
      <c r="E234" s="43"/>
      <c r="AM234" s="19"/>
    </row>
    <row r="235">
      <c r="D235" s="42"/>
      <c r="E235" s="43"/>
      <c r="AM235" s="19"/>
    </row>
    <row r="236">
      <c r="D236" s="42"/>
      <c r="E236" s="43"/>
      <c r="AM236" s="19"/>
    </row>
    <row r="237">
      <c r="D237" s="42"/>
      <c r="E237" s="43"/>
      <c r="AM237" s="19"/>
    </row>
    <row r="238">
      <c r="D238" s="42"/>
      <c r="E238" s="43"/>
      <c r="AM238" s="19"/>
    </row>
    <row r="239">
      <c r="D239" s="42"/>
      <c r="E239" s="43"/>
      <c r="AM239" s="19"/>
    </row>
    <row r="240">
      <c r="D240" s="42"/>
      <c r="E240" s="43"/>
      <c r="AM240" s="19"/>
    </row>
    <row r="241">
      <c r="D241" s="42"/>
      <c r="E241" s="43"/>
      <c r="AM241" s="19"/>
    </row>
    <row r="242">
      <c r="D242" s="42"/>
      <c r="E242" s="43"/>
      <c r="AM242" s="19"/>
    </row>
    <row r="243">
      <c r="D243" s="42"/>
      <c r="E243" s="43"/>
      <c r="AM243" s="19"/>
    </row>
    <row r="244">
      <c r="D244" s="42"/>
      <c r="E244" s="43"/>
      <c r="AM244" s="19"/>
    </row>
    <row r="245">
      <c r="D245" s="42"/>
      <c r="E245" s="43"/>
      <c r="AM245" s="19"/>
    </row>
    <row r="246">
      <c r="D246" s="42"/>
      <c r="E246" s="43"/>
      <c r="AM246" s="19"/>
    </row>
    <row r="247">
      <c r="D247" s="42"/>
      <c r="E247" s="43"/>
      <c r="AM247" s="19"/>
    </row>
    <row r="248">
      <c r="D248" s="42"/>
      <c r="E248" s="43"/>
      <c r="AM248" s="19"/>
    </row>
    <row r="249">
      <c r="D249" s="42"/>
      <c r="E249" s="43"/>
      <c r="AM249" s="19"/>
    </row>
    <row r="250">
      <c r="D250" s="42"/>
      <c r="E250" s="43"/>
      <c r="AM250" s="19"/>
    </row>
    <row r="251">
      <c r="D251" s="42"/>
      <c r="E251" s="43"/>
      <c r="AM251" s="19"/>
    </row>
    <row r="252">
      <c r="D252" s="42"/>
      <c r="E252" s="43"/>
      <c r="AM252" s="19"/>
    </row>
    <row r="253">
      <c r="D253" s="42"/>
      <c r="E253" s="43"/>
      <c r="AM253" s="19"/>
    </row>
    <row r="254">
      <c r="D254" s="42"/>
      <c r="E254" s="43"/>
      <c r="AM254" s="19"/>
    </row>
    <row r="255">
      <c r="D255" s="42"/>
      <c r="E255" s="43"/>
      <c r="AM255" s="19"/>
    </row>
    <row r="256">
      <c r="D256" s="42"/>
      <c r="E256" s="43"/>
      <c r="AM256" s="19"/>
    </row>
    <row r="257">
      <c r="D257" s="42"/>
      <c r="E257" s="43"/>
      <c r="AM257" s="19"/>
    </row>
    <row r="258">
      <c r="D258" s="42"/>
      <c r="E258" s="43"/>
      <c r="AM258" s="19"/>
    </row>
    <row r="259">
      <c r="D259" s="42"/>
      <c r="E259" s="43"/>
      <c r="AM259" s="19"/>
    </row>
    <row r="260">
      <c r="D260" s="42"/>
      <c r="E260" s="43"/>
      <c r="AM260" s="19"/>
    </row>
    <row r="261">
      <c r="D261" s="42"/>
      <c r="E261" s="43"/>
      <c r="AM261" s="19"/>
    </row>
    <row r="262">
      <c r="D262" s="42"/>
      <c r="E262" s="43"/>
      <c r="AM262" s="19"/>
    </row>
    <row r="263">
      <c r="D263" s="42"/>
      <c r="E263" s="43"/>
      <c r="AM263" s="19"/>
    </row>
    <row r="264">
      <c r="D264" s="42"/>
      <c r="E264" s="43"/>
      <c r="AM264" s="19"/>
    </row>
    <row r="265">
      <c r="D265" s="42"/>
      <c r="E265" s="43"/>
      <c r="AM265" s="19"/>
    </row>
    <row r="266">
      <c r="D266" s="42"/>
      <c r="E266" s="43"/>
      <c r="AM266" s="19"/>
    </row>
    <row r="267">
      <c r="D267" s="42"/>
      <c r="E267" s="43"/>
      <c r="AM267" s="19"/>
    </row>
    <row r="268">
      <c r="D268" s="42"/>
      <c r="E268" s="43"/>
      <c r="AM268" s="19"/>
    </row>
    <row r="269">
      <c r="D269" s="42"/>
      <c r="E269" s="43"/>
      <c r="AM269" s="19"/>
    </row>
    <row r="270">
      <c r="D270" s="42"/>
      <c r="E270" s="43"/>
      <c r="AM270" s="19"/>
    </row>
    <row r="271">
      <c r="D271" s="42"/>
      <c r="E271" s="43"/>
      <c r="AM271" s="19"/>
    </row>
    <row r="272">
      <c r="D272" s="42"/>
      <c r="E272" s="43"/>
      <c r="AM272" s="19"/>
    </row>
    <row r="273">
      <c r="D273" s="42"/>
      <c r="E273" s="43"/>
      <c r="AM273" s="19"/>
    </row>
    <row r="274">
      <c r="D274" s="42"/>
      <c r="E274" s="43"/>
      <c r="AM274" s="19"/>
    </row>
    <row r="275">
      <c r="D275" s="42"/>
      <c r="E275" s="43"/>
      <c r="AM275" s="19"/>
    </row>
    <row r="276">
      <c r="D276" s="42"/>
      <c r="E276" s="43"/>
      <c r="AM276" s="19"/>
    </row>
    <row r="277">
      <c r="D277" s="42"/>
      <c r="E277" s="43"/>
      <c r="AM277" s="19"/>
    </row>
    <row r="278">
      <c r="D278" s="42"/>
      <c r="E278" s="43"/>
      <c r="AM278" s="19"/>
    </row>
    <row r="279">
      <c r="D279" s="42"/>
      <c r="E279" s="43"/>
      <c r="AM279" s="19"/>
    </row>
    <row r="280">
      <c r="D280" s="42"/>
      <c r="E280" s="43"/>
      <c r="AM280" s="19"/>
    </row>
    <row r="281">
      <c r="D281" s="42"/>
      <c r="E281" s="43"/>
      <c r="AM281" s="19"/>
    </row>
    <row r="282">
      <c r="D282" s="42"/>
      <c r="E282" s="43"/>
      <c r="AM282" s="19"/>
    </row>
    <row r="283">
      <c r="D283" s="42"/>
      <c r="E283" s="43"/>
      <c r="AM283" s="19"/>
    </row>
    <row r="284">
      <c r="D284" s="42"/>
      <c r="E284" s="43"/>
      <c r="AM284" s="19"/>
    </row>
    <row r="285">
      <c r="D285" s="42"/>
      <c r="E285" s="43"/>
      <c r="AM285" s="19"/>
    </row>
    <row r="286">
      <c r="D286" s="42"/>
      <c r="E286" s="43"/>
      <c r="AM286" s="19"/>
    </row>
    <row r="287">
      <c r="D287" s="42"/>
      <c r="E287" s="43"/>
      <c r="AM287" s="19"/>
    </row>
    <row r="288">
      <c r="D288" s="42"/>
      <c r="E288" s="43"/>
      <c r="AM288" s="19"/>
    </row>
    <row r="289">
      <c r="D289" s="42"/>
      <c r="E289" s="43"/>
      <c r="AM289" s="19"/>
    </row>
    <row r="290">
      <c r="D290" s="42"/>
      <c r="E290" s="43"/>
      <c r="AM290" s="19"/>
    </row>
    <row r="291">
      <c r="D291" s="42"/>
      <c r="E291" s="43"/>
      <c r="AM291" s="19"/>
    </row>
    <row r="292">
      <c r="D292" s="42"/>
      <c r="E292" s="43"/>
      <c r="AM292" s="19"/>
    </row>
    <row r="293">
      <c r="D293" s="42"/>
      <c r="E293" s="43"/>
      <c r="AM293" s="19"/>
    </row>
    <row r="294">
      <c r="D294" s="42"/>
      <c r="E294" s="43"/>
      <c r="AM294" s="19"/>
    </row>
    <row r="295">
      <c r="D295" s="42"/>
      <c r="E295" s="43"/>
      <c r="AM295" s="19"/>
    </row>
    <row r="296">
      <c r="D296" s="42"/>
      <c r="E296" s="43"/>
      <c r="AM296" s="19"/>
    </row>
    <row r="297">
      <c r="D297" s="42"/>
      <c r="E297" s="43"/>
      <c r="AM297" s="19"/>
    </row>
    <row r="298">
      <c r="D298" s="42"/>
      <c r="E298" s="43"/>
      <c r="AM298" s="19"/>
    </row>
    <row r="299">
      <c r="D299" s="42"/>
      <c r="E299" s="43"/>
      <c r="AM299" s="19"/>
    </row>
    <row r="300">
      <c r="D300" s="42"/>
      <c r="E300" s="43"/>
      <c r="AM300" s="19"/>
    </row>
    <row r="301">
      <c r="D301" s="42"/>
      <c r="E301" s="43"/>
      <c r="AM301" s="19"/>
    </row>
    <row r="302">
      <c r="D302" s="42"/>
      <c r="E302" s="43"/>
      <c r="AM302" s="19"/>
    </row>
    <row r="303">
      <c r="D303" s="42"/>
      <c r="E303" s="43"/>
      <c r="AM303" s="19"/>
    </row>
    <row r="304">
      <c r="D304" s="42"/>
      <c r="E304" s="43"/>
      <c r="AM304" s="19"/>
    </row>
    <row r="305">
      <c r="D305" s="42"/>
      <c r="E305" s="43"/>
      <c r="AM305" s="19"/>
    </row>
    <row r="306">
      <c r="D306" s="42"/>
      <c r="E306" s="43"/>
      <c r="AM306" s="19"/>
    </row>
    <row r="307">
      <c r="D307" s="42"/>
      <c r="E307" s="43"/>
      <c r="AM307" s="19"/>
    </row>
    <row r="308">
      <c r="D308" s="42"/>
      <c r="E308" s="43"/>
      <c r="AM308" s="19"/>
    </row>
    <row r="309">
      <c r="D309" s="42"/>
      <c r="E309" s="43"/>
      <c r="AM309" s="19"/>
    </row>
    <row r="310">
      <c r="D310" s="42"/>
      <c r="E310" s="43"/>
      <c r="AM310" s="19"/>
    </row>
    <row r="311">
      <c r="D311" s="42"/>
      <c r="E311" s="43"/>
      <c r="AM311" s="19"/>
    </row>
    <row r="312">
      <c r="D312" s="42"/>
      <c r="E312" s="43"/>
      <c r="AM312" s="19"/>
    </row>
    <row r="313">
      <c r="D313" s="42"/>
      <c r="E313" s="43"/>
      <c r="AM313" s="19"/>
    </row>
    <row r="314">
      <c r="D314" s="42"/>
      <c r="E314" s="43"/>
      <c r="AM314" s="19"/>
    </row>
    <row r="315">
      <c r="D315" s="42"/>
      <c r="E315" s="43"/>
      <c r="AM315" s="19"/>
    </row>
    <row r="316">
      <c r="D316" s="42"/>
      <c r="E316" s="43"/>
      <c r="AM316" s="19"/>
    </row>
    <row r="317">
      <c r="D317" s="42"/>
      <c r="E317" s="43"/>
      <c r="AM317" s="19"/>
    </row>
    <row r="318">
      <c r="D318" s="42"/>
      <c r="E318" s="43"/>
      <c r="AM318" s="19"/>
    </row>
    <row r="319">
      <c r="D319" s="42"/>
      <c r="E319" s="43"/>
      <c r="AM319" s="19"/>
    </row>
    <row r="320">
      <c r="D320" s="42"/>
      <c r="E320" s="43"/>
      <c r="AM320" s="19"/>
    </row>
    <row r="321">
      <c r="D321" s="42"/>
      <c r="E321" s="43"/>
      <c r="AM321" s="19"/>
    </row>
    <row r="322">
      <c r="D322" s="42"/>
      <c r="E322" s="43"/>
      <c r="AM322" s="19"/>
    </row>
    <row r="323">
      <c r="D323" s="42"/>
      <c r="E323" s="43"/>
      <c r="AM323" s="19"/>
    </row>
    <row r="324">
      <c r="D324" s="42"/>
      <c r="E324" s="43"/>
      <c r="AM324" s="19"/>
    </row>
    <row r="325">
      <c r="D325" s="42"/>
      <c r="E325" s="43"/>
      <c r="AM325" s="19"/>
    </row>
    <row r="326">
      <c r="D326" s="42"/>
      <c r="E326" s="43"/>
      <c r="AM326" s="19"/>
    </row>
    <row r="327">
      <c r="D327" s="42"/>
      <c r="E327" s="43"/>
      <c r="AM327" s="19"/>
    </row>
    <row r="328">
      <c r="D328" s="42"/>
      <c r="E328" s="43"/>
      <c r="AM328" s="19"/>
    </row>
    <row r="329">
      <c r="D329" s="42"/>
      <c r="E329" s="43"/>
      <c r="AM329" s="19"/>
    </row>
    <row r="330">
      <c r="D330" s="42"/>
      <c r="E330" s="43"/>
      <c r="AM330" s="19"/>
    </row>
    <row r="331">
      <c r="D331" s="42"/>
      <c r="E331" s="43"/>
      <c r="AM331" s="19"/>
    </row>
    <row r="332">
      <c r="D332" s="42"/>
      <c r="E332" s="43"/>
      <c r="AM332" s="19"/>
    </row>
    <row r="333">
      <c r="D333" s="42"/>
      <c r="E333" s="43"/>
      <c r="AM333" s="19"/>
    </row>
    <row r="334">
      <c r="D334" s="42"/>
      <c r="E334" s="43"/>
      <c r="AM334" s="19"/>
    </row>
    <row r="335">
      <c r="D335" s="42"/>
      <c r="E335" s="43"/>
      <c r="AM335" s="19"/>
    </row>
    <row r="336">
      <c r="D336" s="42"/>
      <c r="E336" s="43"/>
      <c r="AM336" s="19"/>
    </row>
    <row r="337">
      <c r="D337" s="42"/>
      <c r="E337" s="43"/>
      <c r="AM337" s="19"/>
    </row>
    <row r="338">
      <c r="D338" s="42"/>
      <c r="E338" s="43"/>
      <c r="AM338" s="19"/>
    </row>
    <row r="339">
      <c r="D339" s="42"/>
      <c r="E339" s="43"/>
      <c r="AM339" s="19"/>
    </row>
    <row r="340">
      <c r="D340" s="42"/>
      <c r="E340" s="43"/>
      <c r="AM340" s="19"/>
    </row>
    <row r="341">
      <c r="D341" s="42"/>
      <c r="E341" s="43"/>
      <c r="AM341" s="19"/>
    </row>
    <row r="342">
      <c r="D342" s="42"/>
      <c r="E342" s="43"/>
      <c r="AM342" s="19"/>
    </row>
    <row r="343">
      <c r="D343" s="42"/>
      <c r="E343" s="43"/>
      <c r="AM343" s="19"/>
    </row>
    <row r="344">
      <c r="D344" s="42"/>
      <c r="E344" s="43"/>
      <c r="AM344" s="19"/>
    </row>
    <row r="345">
      <c r="D345" s="42"/>
      <c r="E345" s="43"/>
      <c r="AM345" s="19"/>
    </row>
    <row r="346">
      <c r="D346" s="42"/>
      <c r="E346" s="43"/>
      <c r="AM346" s="19"/>
    </row>
    <row r="347">
      <c r="D347" s="42"/>
      <c r="E347" s="43"/>
      <c r="AM347" s="19"/>
    </row>
    <row r="348">
      <c r="D348" s="42"/>
      <c r="E348" s="43"/>
      <c r="AM348" s="19"/>
    </row>
    <row r="349">
      <c r="D349" s="42"/>
      <c r="E349" s="43"/>
      <c r="AM349" s="19"/>
    </row>
    <row r="350">
      <c r="D350" s="42"/>
      <c r="E350" s="43"/>
      <c r="AM350" s="19"/>
    </row>
    <row r="351">
      <c r="D351" s="42"/>
      <c r="E351" s="43"/>
      <c r="AM351" s="19"/>
    </row>
    <row r="352">
      <c r="D352" s="42"/>
      <c r="E352" s="43"/>
      <c r="AM352" s="19"/>
    </row>
    <row r="353">
      <c r="D353" s="42"/>
      <c r="E353" s="43"/>
      <c r="AM353" s="19"/>
    </row>
    <row r="354">
      <c r="D354" s="42"/>
      <c r="E354" s="43"/>
      <c r="AM354" s="19"/>
    </row>
    <row r="355">
      <c r="D355" s="42"/>
      <c r="E355" s="43"/>
      <c r="AM355" s="19"/>
    </row>
    <row r="356">
      <c r="D356" s="42"/>
      <c r="E356" s="43"/>
      <c r="AM356" s="19"/>
    </row>
    <row r="357">
      <c r="D357" s="42"/>
      <c r="E357" s="43"/>
      <c r="AM357" s="19"/>
    </row>
    <row r="358">
      <c r="D358" s="42"/>
      <c r="E358" s="43"/>
      <c r="AM358" s="19"/>
    </row>
    <row r="359">
      <c r="D359" s="42"/>
      <c r="E359" s="43"/>
      <c r="AM359" s="19"/>
    </row>
    <row r="360">
      <c r="D360" s="42"/>
      <c r="E360" s="43"/>
      <c r="AM360" s="19"/>
    </row>
    <row r="361">
      <c r="D361" s="42"/>
      <c r="E361" s="43"/>
      <c r="AM361" s="19"/>
    </row>
    <row r="362">
      <c r="D362" s="42"/>
      <c r="E362" s="43"/>
      <c r="AM362" s="19"/>
    </row>
    <row r="363">
      <c r="D363" s="42"/>
      <c r="E363" s="43"/>
      <c r="AM363" s="19"/>
    </row>
    <row r="364">
      <c r="D364" s="42"/>
      <c r="E364" s="43"/>
      <c r="AM364" s="19"/>
    </row>
    <row r="365">
      <c r="D365" s="42"/>
      <c r="E365" s="43"/>
      <c r="AM365" s="19"/>
    </row>
    <row r="366">
      <c r="D366" s="42"/>
      <c r="E366" s="43"/>
      <c r="AM366" s="19"/>
    </row>
    <row r="367">
      <c r="D367" s="42"/>
      <c r="E367" s="43"/>
      <c r="AM367" s="19"/>
    </row>
    <row r="368">
      <c r="D368" s="42"/>
      <c r="E368" s="43"/>
      <c r="AM368" s="19"/>
    </row>
    <row r="369">
      <c r="D369" s="42"/>
      <c r="E369" s="43"/>
      <c r="AM369" s="19"/>
    </row>
    <row r="370">
      <c r="D370" s="42"/>
      <c r="E370" s="43"/>
      <c r="AM370" s="19"/>
    </row>
    <row r="371">
      <c r="D371" s="42"/>
      <c r="E371" s="43"/>
      <c r="AM371" s="19"/>
    </row>
    <row r="372">
      <c r="D372" s="42"/>
      <c r="E372" s="43"/>
      <c r="AM372" s="19"/>
    </row>
    <row r="373">
      <c r="D373" s="42"/>
      <c r="E373" s="43"/>
      <c r="AM373" s="19"/>
    </row>
    <row r="374">
      <c r="D374" s="42"/>
      <c r="E374" s="43"/>
      <c r="AM374" s="19"/>
    </row>
    <row r="375">
      <c r="D375" s="42"/>
      <c r="E375" s="43"/>
      <c r="AM375" s="19"/>
    </row>
    <row r="376">
      <c r="D376" s="42"/>
      <c r="E376" s="43"/>
      <c r="AM376" s="19"/>
    </row>
    <row r="377">
      <c r="D377" s="42"/>
      <c r="E377" s="43"/>
      <c r="AM377" s="19"/>
    </row>
    <row r="378">
      <c r="D378" s="42"/>
      <c r="E378" s="43"/>
      <c r="AM378" s="19"/>
    </row>
    <row r="379">
      <c r="D379" s="42"/>
      <c r="E379" s="43"/>
      <c r="AM379" s="19"/>
    </row>
    <row r="380">
      <c r="D380" s="42"/>
      <c r="E380" s="43"/>
      <c r="AM380" s="19"/>
    </row>
    <row r="381">
      <c r="D381" s="42"/>
      <c r="E381" s="43"/>
      <c r="AM381" s="19"/>
    </row>
    <row r="382">
      <c r="D382" s="42"/>
      <c r="E382" s="43"/>
      <c r="AM382" s="19"/>
    </row>
    <row r="383">
      <c r="D383" s="42"/>
      <c r="E383" s="43"/>
      <c r="AM383" s="19"/>
    </row>
    <row r="384">
      <c r="D384" s="42"/>
      <c r="E384" s="43"/>
      <c r="AM384" s="19"/>
    </row>
    <row r="385">
      <c r="D385" s="42"/>
      <c r="E385" s="43"/>
      <c r="AM385" s="19"/>
    </row>
    <row r="386">
      <c r="D386" s="42"/>
      <c r="E386" s="43"/>
      <c r="AM386" s="19"/>
    </row>
    <row r="387">
      <c r="D387" s="42"/>
      <c r="E387" s="43"/>
      <c r="AM387" s="19"/>
    </row>
    <row r="388">
      <c r="D388" s="42"/>
      <c r="E388" s="43"/>
      <c r="AM388" s="19"/>
    </row>
    <row r="389">
      <c r="D389" s="42"/>
      <c r="E389" s="43"/>
      <c r="AM389" s="19"/>
    </row>
    <row r="390">
      <c r="D390" s="42"/>
      <c r="E390" s="43"/>
      <c r="AM390" s="19"/>
    </row>
    <row r="391">
      <c r="D391" s="42"/>
      <c r="E391" s="43"/>
      <c r="AM391" s="19"/>
    </row>
    <row r="392">
      <c r="D392" s="42"/>
      <c r="E392" s="43"/>
      <c r="AM392" s="19"/>
    </row>
    <row r="393">
      <c r="D393" s="42"/>
      <c r="E393" s="43"/>
      <c r="AM393" s="19"/>
    </row>
    <row r="394">
      <c r="D394" s="42"/>
      <c r="E394" s="43"/>
      <c r="AM394" s="19"/>
    </row>
    <row r="395">
      <c r="D395" s="42"/>
      <c r="E395" s="43"/>
      <c r="AM395" s="19"/>
    </row>
    <row r="396">
      <c r="D396" s="42"/>
      <c r="E396" s="43"/>
      <c r="AM396" s="19"/>
    </row>
    <row r="397">
      <c r="D397" s="42"/>
      <c r="E397" s="43"/>
      <c r="AM397" s="19"/>
    </row>
    <row r="398">
      <c r="D398" s="42"/>
      <c r="E398" s="43"/>
      <c r="AM398" s="19"/>
    </row>
    <row r="399">
      <c r="D399" s="42"/>
      <c r="E399" s="43"/>
      <c r="AM399" s="19"/>
    </row>
    <row r="400">
      <c r="D400" s="42"/>
      <c r="E400" s="43"/>
      <c r="AM400" s="19"/>
    </row>
    <row r="401">
      <c r="D401" s="42"/>
      <c r="E401" s="43"/>
      <c r="AM401" s="19"/>
    </row>
    <row r="402">
      <c r="D402" s="42"/>
      <c r="E402" s="43"/>
      <c r="AM402" s="19"/>
    </row>
    <row r="403">
      <c r="D403" s="42"/>
      <c r="E403" s="43"/>
      <c r="AM403" s="19"/>
    </row>
    <row r="404">
      <c r="D404" s="42"/>
      <c r="E404" s="43"/>
      <c r="AM404" s="19"/>
    </row>
    <row r="405">
      <c r="D405" s="42"/>
      <c r="E405" s="43"/>
      <c r="AM405" s="19"/>
    </row>
    <row r="406">
      <c r="D406" s="42"/>
      <c r="E406" s="43"/>
      <c r="AM406" s="19"/>
    </row>
    <row r="407">
      <c r="D407" s="42"/>
      <c r="E407" s="43"/>
      <c r="AM407" s="19"/>
    </row>
    <row r="408">
      <c r="D408" s="42"/>
      <c r="E408" s="43"/>
      <c r="AM408" s="19"/>
    </row>
    <row r="409">
      <c r="D409" s="42"/>
      <c r="E409" s="43"/>
      <c r="AM409" s="19"/>
    </row>
    <row r="410">
      <c r="D410" s="42"/>
      <c r="E410" s="43"/>
      <c r="AM410" s="19"/>
    </row>
    <row r="411">
      <c r="D411" s="42"/>
      <c r="E411" s="43"/>
      <c r="AM411" s="19"/>
    </row>
    <row r="412">
      <c r="D412" s="42"/>
      <c r="E412" s="43"/>
      <c r="AM412" s="19"/>
    </row>
    <row r="413">
      <c r="D413" s="42"/>
      <c r="E413" s="43"/>
      <c r="AM413" s="19"/>
    </row>
    <row r="414">
      <c r="D414" s="42"/>
      <c r="E414" s="43"/>
      <c r="AM414" s="19"/>
    </row>
    <row r="415">
      <c r="D415" s="42"/>
      <c r="E415" s="43"/>
      <c r="AM415" s="19"/>
    </row>
    <row r="416">
      <c r="D416" s="42"/>
      <c r="E416" s="43"/>
      <c r="AM416" s="19"/>
    </row>
    <row r="417">
      <c r="D417" s="42"/>
      <c r="E417" s="43"/>
      <c r="AM417" s="19"/>
    </row>
    <row r="418">
      <c r="D418" s="42"/>
      <c r="E418" s="43"/>
      <c r="AM418" s="19"/>
    </row>
    <row r="419">
      <c r="D419" s="42"/>
      <c r="E419" s="43"/>
      <c r="AM419" s="19"/>
    </row>
    <row r="420">
      <c r="D420" s="42"/>
      <c r="E420" s="43"/>
      <c r="AM420" s="19"/>
    </row>
    <row r="421">
      <c r="D421" s="42"/>
      <c r="E421" s="43"/>
      <c r="AM421" s="19"/>
    </row>
    <row r="422">
      <c r="D422" s="42"/>
      <c r="E422" s="43"/>
      <c r="AM422" s="19"/>
    </row>
    <row r="423">
      <c r="D423" s="42"/>
      <c r="E423" s="43"/>
      <c r="AM423" s="19"/>
    </row>
    <row r="424">
      <c r="D424" s="42"/>
      <c r="E424" s="43"/>
      <c r="AM424" s="19"/>
    </row>
    <row r="425">
      <c r="D425" s="42"/>
      <c r="E425" s="43"/>
      <c r="AM425" s="19"/>
    </row>
    <row r="426">
      <c r="D426" s="42"/>
      <c r="E426" s="43"/>
      <c r="AM426" s="19"/>
    </row>
    <row r="427">
      <c r="D427" s="42"/>
      <c r="E427" s="43"/>
      <c r="AM427" s="19"/>
    </row>
    <row r="428">
      <c r="D428" s="42"/>
      <c r="E428" s="43"/>
      <c r="AM428" s="19"/>
    </row>
    <row r="429">
      <c r="D429" s="42"/>
      <c r="E429" s="43"/>
      <c r="AM429" s="19"/>
    </row>
    <row r="430">
      <c r="D430" s="42"/>
      <c r="E430" s="43"/>
      <c r="AM430" s="19"/>
    </row>
    <row r="431">
      <c r="D431" s="42"/>
      <c r="E431" s="43"/>
      <c r="AM431" s="19"/>
    </row>
    <row r="432">
      <c r="D432" s="42"/>
      <c r="E432" s="43"/>
      <c r="AM432" s="19"/>
    </row>
    <row r="433">
      <c r="D433" s="42"/>
      <c r="E433" s="43"/>
      <c r="AM433" s="19"/>
    </row>
    <row r="434">
      <c r="D434" s="42"/>
      <c r="E434" s="43"/>
      <c r="AM434" s="19"/>
    </row>
    <row r="435">
      <c r="D435" s="42"/>
      <c r="E435" s="43"/>
      <c r="AM435" s="19"/>
    </row>
    <row r="436">
      <c r="D436" s="42"/>
      <c r="E436" s="43"/>
      <c r="AM436" s="19"/>
    </row>
    <row r="437">
      <c r="D437" s="42"/>
      <c r="E437" s="43"/>
      <c r="AM437" s="19"/>
    </row>
    <row r="438">
      <c r="D438" s="42"/>
      <c r="E438" s="43"/>
      <c r="AM438" s="19"/>
    </row>
    <row r="439">
      <c r="D439" s="42"/>
      <c r="E439" s="43"/>
      <c r="AM439" s="19"/>
    </row>
    <row r="440">
      <c r="D440" s="42"/>
      <c r="E440" s="43"/>
      <c r="AM440" s="19"/>
    </row>
    <row r="441">
      <c r="D441" s="42"/>
      <c r="E441" s="43"/>
      <c r="AM441" s="19"/>
    </row>
    <row r="442">
      <c r="D442" s="42"/>
      <c r="E442" s="43"/>
      <c r="AM442" s="19"/>
    </row>
    <row r="443">
      <c r="D443" s="42"/>
      <c r="E443" s="43"/>
      <c r="AM443" s="19"/>
    </row>
    <row r="444">
      <c r="D444" s="42"/>
      <c r="E444" s="43"/>
      <c r="AM444" s="19"/>
    </row>
    <row r="445">
      <c r="D445" s="42"/>
      <c r="E445" s="43"/>
      <c r="AM445" s="19"/>
    </row>
    <row r="446">
      <c r="D446" s="42"/>
      <c r="E446" s="43"/>
      <c r="AM446" s="19"/>
    </row>
    <row r="447">
      <c r="D447" s="42"/>
      <c r="E447" s="43"/>
      <c r="AM447" s="19"/>
    </row>
    <row r="448">
      <c r="D448" s="42"/>
      <c r="E448" s="43"/>
      <c r="AM448" s="19"/>
    </row>
    <row r="449">
      <c r="D449" s="42"/>
      <c r="E449" s="43"/>
      <c r="AM449" s="19"/>
    </row>
    <row r="450">
      <c r="D450" s="42"/>
      <c r="E450" s="43"/>
      <c r="AM450" s="19"/>
    </row>
    <row r="451">
      <c r="D451" s="42"/>
      <c r="E451" s="43"/>
      <c r="AM451" s="19"/>
    </row>
    <row r="452">
      <c r="D452" s="42"/>
      <c r="E452" s="43"/>
      <c r="AM452" s="19"/>
    </row>
    <row r="453">
      <c r="D453" s="42"/>
      <c r="E453" s="43"/>
      <c r="AM453" s="19"/>
    </row>
    <row r="454">
      <c r="D454" s="42"/>
      <c r="E454" s="43"/>
      <c r="AM454" s="19"/>
    </row>
    <row r="455">
      <c r="D455" s="42"/>
      <c r="E455" s="43"/>
      <c r="AM455" s="19"/>
    </row>
    <row r="456">
      <c r="D456" s="42"/>
      <c r="E456" s="43"/>
      <c r="AM456" s="19"/>
    </row>
    <row r="457">
      <c r="D457" s="42"/>
      <c r="E457" s="43"/>
      <c r="AM457" s="19"/>
    </row>
    <row r="458">
      <c r="D458" s="42"/>
      <c r="E458" s="43"/>
      <c r="AM458" s="19"/>
    </row>
    <row r="459">
      <c r="D459" s="42"/>
      <c r="E459" s="43"/>
      <c r="AM459" s="19"/>
    </row>
    <row r="460">
      <c r="D460" s="42"/>
      <c r="E460" s="43"/>
      <c r="AM460" s="19"/>
    </row>
    <row r="461">
      <c r="D461" s="42"/>
      <c r="E461" s="43"/>
      <c r="AM461" s="19"/>
    </row>
    <row r="462">
      <c r="D462" s="42"/>
      <c r="E462" s="43"/>
      <c r="AM462" s="19"/>
    </row>
    <row r="463">
      <c r="D463" s="42"/>
      <c r="E463" s="43"/>
      <c r="AM463" s="19"/>
    </row>
    <row r="464">
      <c r="D464" s="42"/>
      <c r="E464" s="43"/>
      <c r="AM464" s="19"/>
    </row>
    <row r="465">
      <c r="D465" s="42"/>
      <c r="E465" s="43"/>
      <c r="AM465" s="19"/>
    </row>
    <row r="466">
      <c r="D466" s="42"/>
      <c r="E466" s="43"/>
      <c r="AM466" s="19"/>
    </row>
    <row r="467">
      <c r="D467" s="42"/>
      <c r="E467" s="43"/>
      <c r="AM467" s="19"/>
    </row>
    <row r="468">
      <c r="D468" s="42"/>
      <c r="E468" s="43"/>
      <c r="AM468" s="19"/>
    </row>
    <row r="469">
      <c r="D469" s="42"/>
      <c r="E469" s="43"/>
      <c r="AM469" s="19"/>
    </row>
    <row r="470">
      <c r="D470" s="42"/>
      <c r="E470" s="43"/>
      <c r="AM470" s="19"/>
    </row>
    <row r="471">
      <c r="D471" s="42"/>
      <c r="E471" s="43"/>
      <c r="AM471" s="19"/>
    </row>
    <row r="472">
      <c r="D472" s="42"/>
      <c r="E472" s="43"/>
      <c r="AM472" s="19"/>
    </row>
    <row r="473">
      <c r="D473" s="42"/>
      <c r="E473" s="43"/>
      <c r="AM473" s="19"/>
    </row>
    <row r="474">
      <c r="D474" s="42"/>
      <c r="E474" s="43"/>
      <c r="AM474" s="19"/>
    </row>
    <row r="475">
      <c r="D475" s="42"/>
      <c r="E475" s="43"/>
      <c r="AM475" s="19"/>
    </row>
    <row r="476">
      <c r="D476" s="42"/>
      <c r="E476" s="43"/>
      <c r="AM476" s="19"/>
    </row>
    <row r="477">
      <c r="D477" s="42"/>
      <c r="E477" s="43"/>
      <c r="AM477" s="19"/>
    </row>
    <row r="478">
      <c r="D478" s="42"/>
      <c r="E478" s="43"/>
      <c r="AM478" s="19"/>
    </row>
    <row r="479">
      <c r="D479" s="42"/>
      <c r="E479" s="43"/>
      <c r="AM479" s="19"/>
    </row>
    <row r="480">
      <c r="D480" s="42"/>
      <c r="E480" s="43"/>
      <c r="AM480" s="19"/>
    </row>
    <row r="481">
      <c r="D481" s="42"/>
      <c r="E481" s="43"/>
      <c r="AM481" s="19"/>
    </row>
    <row r="482">
      <c r="D482" s="42"/>
      <c r="E482" s="43"/>
      <c r="AM482" s="19"/>
    </row>
    <row r="483">
      <c r="D483" s="42"/>
      <c r="E483" s="43"/>
      <c r="AM483" s="19"/>
    </row>
    <row r="484">
      <c r="D484" s="42"/>
      <c r="E484" s="43"/>
      <c r="AM484" s="19"/>
    </row>
    <row r="485">
      <c r="D485" s="42"/>
      <c r="E485" s="43"/>
      <c r="AM485" s="19"/>
    </row>
    <row r="486">
      <c r="D486" s="42"/>
      <c r="E486" s="43"/>
      <c r="AM486" s="19"/>
    </row>
    <row r="487">
      <c r="D487" s="42"/>
      <c r="E487" s="43"/>
      <c r="AM487" s="19"/>
    </row>
    <row r="488">
      <c r="D488" s="42"/>
      <c r="E488" s="43"/>
      <c r="AM488" s="19"/>
    </row>
    <row r="489">
      <c r="D489" s="42"/>
      <c r="E489" s="43"/>
      <c r="AM489" s="19"/>
    </row>
    <row r="490">
      <c r="D490" s="42"/>
      <c r="E490" s="43"/>
      <c r="AM490" s="19"/>
    </row>
    <row r="491">
      <c r="D491" s="42"/>
      <c r="E491" s="43"/>
      <c r="AM491" s="19"/>
    </row>
    <row r="492">
      <c r="D492" s="42"/>
      <c r="E492" s="43"/>
      <c r="AM492" s="19"/>
    </row>
    <row r="493">
      <c r="D493" s="42"/>
      <c r="E493" s="43"/>
      <c r="AM493" s="19"/>
    </row>
    <row r="494">
      <c r="D494" s="42"/>
      <c r="E494" s="43"/>
      <c r="AM494" s="19"/>
    </row>
    <row r="495">
      <c r="D495" s="42"/>
      <c r="E495" s="43"/>
      <c r="AM495" s="19"/>
    </row>
    <row r="496">
      <c r="D496" s="42"/>
      <c r="E496" s="43"/>
      <c r="AM496" s="19"/>
    </row>
    <row r="497">
      <c r="D497" s="42"/>
      <c r="E497" s="43"/>
      <c r="AM497" s="19"/>
    </row>
    <row r="498">
      <c r="D498" s="42"/>
      <c r="E498" s="43"/>
      <c r="AM498" s="19"/>
    </row>
    <row r="499">
      <c r="D499" s="42"/>
      <c r="E499" s="43"/>
      <c r="AM499" s="19"/>
    </row>
    <row r="500">
      <c r="D500" s="42"/>
      <c r="E500" s="43"/>
      <c r="AM500" s="19"/>
    </row>
    <row r="501">
      <c r="D501" s="42"/>
      <c r="E501" s="43"/>
      <c r="AM501" s="19"/>
    </row>
    <row r="502">
      <c r="D502" s="42"/>
      <c r="E502" s="43"/>
      <c r="AM502" s="19"/>
    </row>
    <row r="503">
      <c r="D503" s="42"/>
      <c r="E503" s="43"/>
      <c r="AM503" s="19"/>
    </row>
    <row r="504">
      <c r="D504" s="42"/>
      <c r="E504" s="43"/>
      <c r="AM504" s="19"/>
    </row>
    <row r="505">
      <c r="D505" s="42"/>
      <c r="E505" s="43"/>
      <c r="AM505" s="19"/>
    </row>
    <row r="506">
      <c r="D506" s="42"/>
      <c r="E506" s="43"/>
      <c r="AM506" s="19"/>
    </row>
    <row r="507">
      <c r="D507" s="42"/>
      <c r="E507" s="43"/>
      <c r="AM507" s="19"/>
    </row>
    <row r="508">
      <c r="D508" s="42"/>
      <c r="E508" s="43"/>
      <c r="AM508" s="19"/>
    </row>
    <row r="509">
      <c r="D509" s="42"/>
      <c r="E509" s="43"/>
      <c r="AM509" s="19"/>
    </row>
    <row r="510">
      <c r="D510" s="42"/>
      <c r="E510" s="43"/>
      <c r="AM510" s="19"/>
    </row>
    <row r="511">
      <c r="D511" s="42"/>
      <c r="E511" s="43"/>
      <c r="AM511" s="19"/>
    </row>
    <row r="512">
      <c r="D512" s="42"/>
      <c r="E512" s="43"/>
      <c r="AM512" s="19"/>
    </row>
    <row r="513">
      <c r="D513" s="42"/>
      <c r="E513" s="43"/>
      <c r="AM513" s="19"/>
    </row>
    <row r="514">
      <c r="D514" s="42"/>
      <c r="E514" s="43"/>
      <c r="AM514" s="19"/>
    </row>
    <row r="515">
      <c r="D515" s="42"/>
      <c r="E515" s="43"/>
      <c r="AM515" s="19"/>
    </row>
    <row r="516">
      <c r="D516" s="42"/>
      <c r="E516" s="43"/>
      <c r="AM516" s="19"/>
    </row>
    <row r="517">
      <c r="D517" s="42"/>
      <c r="E517" s="43"/>
      <c r="AM517" s="19"/>
    </row>
    <row r="518">
      <c r="D518" s="42"/>
      <c r="E518" s="43"/>
      <c r="AM518" s="19"/>
    </row>
    <row r="519">
      <c r="D519" s="42"/>
      <c r="E519" s="43"/>
      <c r="AM519" s="19"/>
    </row>
    <row r="520">
      <c r="D520" s="42"/>
      <c r="E520" s="43"/>
      <c r="AM520" s="19"/>
    </row>
    <row r="521">
      <c r="D521" s="42"/>
      <c r="E521" s="43"/>
      <c r="AM521" s="19"/>
    </row>
    <row r="522">
      <c r="D522" s="42"/>
      <c r="E522" s="43"/>
      <c r="AM522" s="19"/>
    </row>
    <row r="523">
      <c r="D523" s="42"/>
      <c r="E523" s="43"/>
      <c r="AM523" s="19"/>
    </row>
    <row r="524">
      <c r="D524" s="42"/>
      <c r="E524" s="43"/>
      <c r="AM524" s="19"/>
    </row>
    <row r="525">
      <c r="D525" s="42"/>
      <c r="E525" s="43"/>
      <c r="AM525" s="19"/>
    </row>
    <row r="526">
      <c r="D526" s="42"/>
      <c r="E526" s="43"/>
      <c r="AM526" s="19"/>
    </row>
    <row r="527">
      <c r="D527" s="42"/>
      <c r="E527" s="43"/>
      <c r="AM527" s="19"/>
    </row>
    <row r="528">
      <c r="D528" s="42"/>
      <c r="E528" s="43"/>
      <c r="AM528" s="19"/>
    </row>
    <row r="529">
      <c r="D529" s="42"/>
      <c r="E529" s="43"/>
      <c r="AM529" s="19"/>
    </row>
    <row r="530">
      <c r="D530" s="42"/>
      <c r="E530" s="43"/>
      <c r="AM530" s="19"/>
    </row>
    <row r="531">
      <c r="D531" s="42"/>
      <c r="E531" s="43"/>
      <c r="AM531" s="19"/>
    </row>
    <row r="532">
      <c r="D532" s="42"/>
      <c r="E532" s="43"/>
      <c r="AM532" s="19"/>
    </row>
    <row r="533">
      <c r="D533" s="42"/>
      <c r="E533" s="43"/>
      <c r="AM533" s="19"/>
    </row>
    <row r="534">
      <c r="D534" s="42"/>
      <c r="E534" s="43"/>
      <c r="AM534" s="19"/>
    </row>
    <row r="535">
      <c r="D535" s="42"/>
      <c r="E535" s="43"/>
      <c r="AM535" s="19"/>
    </row>
    <row r="536">
      <c r="D536" s="42"/>
      <c r="E536" s="43"/>
      <c r="AM536" s="19"/>
    </row>
    <row r="537">
      <c r="D537" s="42"/>
      <c r="E537" s="43"/>
      <c r="AM537" s="19"/>
    </row>
    <row r="538">
      <c r="D538" s="42"/>
      <c r="E538" s="43"/>
      <c r="AM538" s="19"/>
    </row>
    <row r="539">
      <c r="D539" s="42"/>
      <c r="E539" s="43"/>
      <c r="AM539" s="19"/>
    </row>
    <row r="540">
      <c r="D540" s="42"/>
      <c r="E540" s="43"/>
      <c r="AM540" s="19"/>
    </row>
    <row r="541">
      <c r="D541" s="42"/>
      <c r="E541" s="43"/>
      <c r="AM541" s="19"/>
    </row>
    <row r="542">
      <c r="D542" s="42"/>
      <c r="E542" s="43"/>
      <c r="AM542" s="19"/>
    </row>
    <row r="543">
      <c r="D543" s="42"/>
      <c r="E543" s="43"/>
      <c r="AM543" s="19"/>
    </row>
    <row r="544">
      <c r="D544" s="42"/>
      <c r="E544" s="43"/>
      <c r="AM544" s="19"/>
    </row>
    <row r="545">
      <c r="D545" s="42"/>
      <c r="E545" s="43"/>
      <c r="AM545" s="19"/>
    </row>
    <row r="546">
      <c r="D546" s="42"/>
      <c r="E546" s="43"/>
      <c r="AM546" s="19"/>
    </row>
    <row r="547">
      <c r="D547" s="42"/>
      <c r="E547" s="43"/>
      <c r="AM547" s="19"/>
    </row>
    <row r="548">
      <c r="D548" s="42"/>
      <c r="E548" s="43"/>
      <c r="AM548" s="19"/>
    </row>
    <row r="549">
      <c r="D549" s="42"/>
      <c r="E549" s="43"/>
      <c r="AM549" s="19"/>
    </row>
    <row r="550">
      <c r="D550" s="42"/>
      <c r="E550" s="43"/>
      <c r="AM550" s="19"/>
    </row>
    <row r="551">
      <c r="D551" s="42"/>
      <c r="E551" s="43"/>
      <c r="AM551" s="19"/>
    </row>
    <row r="552">
      <c r="D552" s="42"/>
      <c r="E552" s="43"/>
      <c r="AM552" s="19"/>
    </row>
    <row r="553">
      <c r="D553" s="42"/>
      <c r="E553" s="43"/>
      <c r="AM553" s="19"/>
    </row>
    <row r="554">
      <c r="D554" s="42"/>
      <c r="E554" s="43"/>
      <c r="AM554" s="19"/>
    </row>
    <row r="555">
      <c r="D555" s="42"/>
      <c r="E555" s="43"/>
      <c r="AM555" s="19"/>
    </row>
    <row r="556">
      <c r="D556" s="42"/>
      <c r="E556" s="43"/>
      <c r="AM556" s="19"/>
    </row>
    <row r="557">
      <c r="D557" s="42"/>
      <c r="E557" s="43"/>
      <c r="AM557" s="19"/>
    </row>
    <row r="558">
      <c r="D558" s="42"/>
      <c r="E558" s="43"/>
      <c r="AM558" s="19"/>
    </row>
    <row r="559">
      <c r="D559" s="42"/>
      <c r="E559" s="43"/>
      <c r="AM559" s="19"/>
    </row>
    <row r="560">
      <c r="D560" s="42"/>
      <c r="E560" s="43"/>
      <c r="AM560" s="19"/>
    </row>
    <row r="561">
      <c r="D561" s="42"/>
      <c r="E561" s="43"/>
      <c r="AM561" s="19"/>
    </row>
    <row r="562">
      <c r="D562" s="42"/>
      <c r="E562" s="43"/>
      <c r="AM562" s="19"/>
    </row>
    <row r="563">
      <c r="D563" s="42"/>
      <c r="E563" s="43"/>
      <c r="AM563" s="19"/>
    </row>
    <row r="564">
      <c r="D564" s="42"/>
      <c r="E564" s="43"/>
      <c r="AM564" s="19"/>
    </row>
    <row r="565">
      <c r="D565" s="42"/>
      <c r="E565" s="43"/>
      <c r="AM565" s="19"/>
    </row>
    <row r="566">
      <c r="D566" s="42"/>
      <c r="E566" s="43"/>
      <c r="AM566" s="19"/>
    </row>
    <row r="567">
      <c r="D567" s="42"/>
      <c r="E567" s="43"/>
      <c r="AM567" s="19"/>
    </row>
    <row r="568">
      <c r="D568" s="42"/>
      <c r="E568" s="43"/>
      <c r="AM568" s="19"/>
    </row>
    <row r="569">
      <c r="D569" s="42"/>
      <c r="E569" s="43"/>
      <c r="AM569" s="19"/>
    </row>
    <row r="570">
      <c r="D570" s="42"/>
      <c r="E570" s="43"/>
      <c r="AM570" s="19"/>
    </row>
    <row r="571">
      <c r="D571" s="42"/>
      <c r="E571" s="43"/>
      <c r="AM571" s="19"/>
    </row>
    <row r="572">
      <c r="D572" s="42"/>
      <c r="E572" s="43"/>
      <c r="AM572" s="19"/>
    </row>
    <row r="573">
      <c r="D573" s="42"/>
      <c r="E573" s="43"/>
      <c r="AM573" s="19"/>
    </row>
    <row r="574">
      <c r="D574" s="42"/>
      <c r="E574" s="43"/>
      <c r="AM574" s="19"/>
    </row>
    <row r="575">
      <c r="D575" s="42"/>
      <c r="E575" s="43"/>
      <c r="AM575" s="19"/>
    </row>
    <row r="576">
      <c r="D576" s="42"/>
      <c r="E576" s="43"/>
      <c r="AM576" s="19"/>
    </row>
    <row r="577">
      <c r="D577" s="42"/>
      <c r="E577" s="43"/>
      <c r="AM577" s="19"/>
    </row>
    <row r="578">
      <c r="D578" s="42"/>
      <c r="E578" s="43"/>
      <c r="AM578" s="19"/>
    </row>
    <row r="579">
      <c r="D579" s="42"/>
      <c r="E579" s="43"/>
      <c r="AM579" s="19"/>
    </row>
    <row r="580">
      <c r="D580" s="42"/>
      <c r="E580" s="43"/>
      <c r="AM580" s="19"/>
    </row>
    <row r="581">
      <c r="D581" s="42"/>
      <c r="E581" s="43"/>
      <c r="AM581" s="19"/>
    </row>
    <row r="582">
      <c r="D582" s="42"/>
      <c r="E582" s="43"/>
      <c r="AM582" s="19"/>
    </row>
    <row r="583">
      <c r="D583" s="42"/>
      <c r="E583" s="43"/>
      <c r="AM583" s="19"/>
    </row>
    <row r="584">
      <c r="D584" s="42"/>
      <c r="E584" s="43"/>
      <c r="AM584" s="19"/>
    </row>
    <row r="585">
      <c r="D585" s="42"/>
      <c r="E585" s="43"/>
      <c r="AM585" s="19"/>
    </row>
    <row r="586">
      <c r="D586" s="42"/>
      <c r="E586" s="43"/>
      <c r="AM586" s="19"/>
    </row>
    <row r="587">
      <c r="D587" s="42"/>
      <c r="E587" s="43"/>
      <c r="AM587" s="19"/>
    </row>
    <row r="588">
      <c r="D588" s="42"/>
      <c r="E588" s="43"/>
      <c r="AM588" s="19"/>
    </row>
    <row r="589">
      <c r="D589" s="42"/>
      <c r="E589" s="43"/>
      <c r="AM589" s="19"/>
    </row>
    <row r="590">
      <c r="D590" s="42"/>
      <c r="E590" s="43"/>
      <c r="AM590" s="19"/>
    </row>
    <row r="591">
      <c r="D591" s="42"/>
      <c r="E591" s="43"/>
      <c r="AM591" s="19"/>
    </row>
    <row r="592">
      <c r="D592" s="42"/>
      <c r="E592" s="43"/>
      <c r="AM592" s="19"/>
    </row>
    <row r="593">
      <c r="D593" s="42"/>
      <c r="E593" s="43"/>
      <c r="AM593" s="19"/>
    </row>
    <row r="594">
      <c r="D594" s="42"/>
      <c r="E594" s="43"/>
      <c r="AM594" s="19"/>
    </row>
    <row r="595">
      <c r="D595" s="42"/>
      <c r="E595" s="43"/>
      <c r="AM595" s="19"/>
    </row>
    <row r="596">
      <c r="D596" s="42"/>
      <c r="E596" s="43"/>
      <c r="AM596" s="19"/>
    </row>
    <row r="597">
      <c r="D597" s="42"/>
      <c r="E597" s="43"/>
      <c r="AM597" s="19"/>
    </row>
    <row r="598">
      <c r="D598" s="42"/>
      <c r="E598" s="43"/>
      <c r="AM598" s="19"/>
    </row>
    <row r="599">
      <c r="D599" s="42"/>
      <c r="E599" s="43"/>
      <c r="AM599" s="19"/>
    </row>
    <row r="600">
      <c r="D600" s="42"/>
      <c r="E600" s="43"/>
      <c r="AM600" s="19"/>
    </row>
    <row r="601">
      <c r="D601" s="42"/>
      <c r="E601" s="43"/>
      <c r="AM601" s="19"/>
    </row>
    <row r="602">
      <c r="D602" s="42"/>
      <c r="E602" s="43"/>
      <c r="AM602" s="19"/>
    </row>
    <row r="603">
      <c r="D603" s="42"/>
      <c r="E603" s="43"/>
      <c r="AM603" s="19"/>
    </row>
    <row r="604">
      <c r="D604" s="42"/>
      <c r="E604" s="43"/>
      <c r="AM604" s="19"/>
    </row>
    <row r="605">
      <c r="D605" s="42"/>
      <c r="E605" s="43"/>
      <c r="AM605" s="19"/>
    </row>
    <row r="606">
      <c r="D606" s="42"/>
      <c r="E606" s="43"/>
      <c r="AM606" s="19"/>
    </row>
    <row r="607">
      <c r="D607" s="42"/>
      <c r="E607" s="43"/>
      <c r="AM607" s="19"/>
    </row>
    <row r="608">
      <c r="D608" s="42"/>
      <c r="E608" s="43"/>
      <c r="AM608" s="19"/>
    </row>
    <row r="609">
      <c r="D609" s="42"/>
      <c r="E609" s="43"/>
      <c r="AM609" s="19"/>
    </row>
    <row r="610">
      <c r="D610" s="42"/>
      <c r="E610" s="43"/>
      <c r="AM610" s="19"/>
    </row>
    <row r="611">
      <c r="D611" s="42"/>
      <c r="E611" s="43"/>
      <c r="AM611" s="19"/>
    </row>
    <row r="612">
      <c r="D612" s="42"/>
      <c r="E612" s="43"/>
      <c r="AM612" s="19"/>
    </row>
    <row r="613">
      <c r="D613" s="42"/>
      <c r="E613" s="43"/>
      <c r="AM613" s="19"/>
    </row>
    <row r="614">
      <c r="D614" s="42"/>
      <c r="E614" s="43"/>
      <c r="AM614" s="19"/>
    </row>
    <row r="615">
      <c r="D615" s="42"/>
      <c r="E615" s="43"/>
      <c r="AM615" s="19"/>
    </row>
    <row r="616">
      <c r="D616" s="42"/>
      <c r="E616" s="43"/>
      <c r="AM616" s="19"/>
    </row>
    <row r="617">
      <c r="D617" s="42"/>
      <c r="E617" s="43"/>
      <c r="AM617" s="19"/>
    </row>
    <row r="618">
      <c r="D618" s="42"/>
      <c r="E618" s="43"/>
      <c r="AM618" s="19"/>
    </row>
    <row r="619">
      <c r="D619" s="42"/>
      <c r="E619" s="43"/>
      <c r="AM619" s="19"/>
    </row>
    <row r="620">
      <c r="D620" s="42"/>
      <c r="E620" s="43"/>
      <c r="AM620" s="19"/>
    </row>
    <row r="621">
      <c r="D621" s="42"/>
      <c r="E621" s="43"/>
      <c r="AM621" s="19"/>
    </row>
    <row r="622">
      <c r="D622" s="42"/>
      <c r="E622" s="43"/>
      <c r="AM622" s="19"/>
    </row>
    <row r="623">
      <c r="D623" s="42"/>
      <c r="E623" s="43"/>
      <c r="AM623" s="19"/>
    </row>
    <row r="624">
      <c r="D624" s="42"/>
      <c r="E624" s="43"/>
      <c r="AM624" s="19"/>
    </row>
    <row r="625">
      <c r="D625" s="42"/>
      <c r="E625" s="43"/>
      <c r="AM625" s="19"/>
    </row>
    <row r="626">
      <c r="D626" s="42"/>
      <c r="E626" s="43"/>
      <c r="AM626" s="19"/>
    </row>
    <row r="627">
      <c r="D627" s="42"/>
      <c r="E627" s="43"/>
      <c r="AM627" s="19"/>
    </row>
    <row r="628">
      <c r="D628" s="42"/>
      <c r="E628" s="43"/>
      <c r="AM628" s="19"/>
    </row>
    <row r="629">
      <c r="D629" s="42"/>
      <c r="E629" s="43"/>
      <c r="AM629" s="19"/>
    </row>
    <row r="630">
      <c r="D630" s="42"/>
      <c r="E630" s="43"/>
      <c r="AM630" s="19"/>
    </row>
    <row r="631">
      <c r="D631" s="42"/>
      <c r="E631" s="43"/>
      <c r="AM631" s="19"/>
    </row>
    <row r="632">
      <c r="D632" s="42"/>
      <c r="E632" s="43"/>
      <c r="AM632" s="19"/>
    </row>
    <row r="633">
      <c r="D633" s="42"/>
      <c r="E633" s="43"/>
      <c r="AM633" s="19"/>
    </row>
    <row r="634">
      <c r="D634" s="42"/>
      <c r="E634" s="43"/>
      <c r="AM634" s="19"/>
    </row>
    <row r="635">
      <c r="D635" s="42"/>
      <c r="E635" s="43"/>
      <c r="AM635" s="19"/>
    </row>
    <row r="636">
      <c r="D636" s="42"/>
      <c r="E636" s="43"/>
      <c r="AM636" s="19"/>
    </row>
    <row r="637">
      <c r="D637" s="42"/>
      <c r="E637" s="43"/>
      <c r="AM637" s="19"/>
    </row>
    <row r="638">
      <c r="D638" s="42"/>
      <c r="E638" s="43"/>
      <c r="AM638" s="19"/>
    </row>
    <row r="639">
      <c r="D639" s="42"/>
      <c r="E639" s="43"/>
      <c r="AM639" s="19"/>
    </row>
    <row r="640">
      <c r="D640" s="42"/>
      <c r="E640" s="43"/>
      <c r="AM640" s="19"/>
    </row>
    <row r="641">
      <c r="D641" s="42"/>
      <c r="E641" s="43"/>
      <c r="AM641" s="19"/>
    </row>
    <row r="642">
      <c r="D642" s="42"/>
      <c r="E642" s="43"/>
      <c r="AM642" s="19"/>
    </row>
    <row r="643">
      <c r="D643" s="42"/>
      <c r="E643" s="43"/>
      <c r="AM643" s="19"/>
    </row>
    <row r="644">
      <c r="D644" s="42"/>
      <c r="E644" s="43"/>
      <c r="AM644" s="19"/>
    </row>
    <row r="645">
      <c r="D645" s="42"/>
      <c r="E645" s="43"/>
      <c r="AM645" s="19"/>
    </row>
    <row r="646">
      <c r="D646" s="42"/>
      <c r="E646" s="43"/>
      <c r="AM646" s="19"/>
    </row>
    <row r="647">
      <c r="D647" s="42"/>
      <c r="E647" s="43"/>
      <c r="AM647" s="19"/>
    </row>
    <row r="648">
      <c r="D648" s="42"/>
      <c r="E648" s="43"/>
      <c r="AM648" s="19"/>
    </row>
    <row r="649">
      <c r="D649" s="42"/>
      <c r="E649" s="43"/>
      <c r="AM649" s="19"/>
    </row>
    <row r="650">
      <c r="D650" s="42"/>
      <c r="E650" s="43"/>
      <c r="AM650" s="19"/>
    </row>
    <row r="651">
      <c r="D651" s="42"/>
      <c r="E651" s="43"/>
      <c r="AM651" s="19"/>
    </row>
    <row r="652">
      <c r="D652" s="42"/>
      <c r="E652" s="43"/>
      <c r="AM652" s="19"/>
    </row>
    <row r="653">
      <c r="D653" s="42"/>
      <c r="E653" s="43"/>
      <c r="AM653" s="19"/>
    </row>
    <row r="654">
      <c r="D654" s="42"/>
      <c r="E654" s="43"/>
      <c r="AM654" s="19"/>
    </row>
    <row r="655">
      <c r="D655" s="42"/>
      <c r="E655" s="43"/>
      <c r="AM655" s="19"/>
    </row>
    <row r="656">
      <c r="D656" s="42"/>
      <c r="E656" s="43"/>
      <c r="AM656" s="19"/>
    </row>
    <row r="657">
      <c r="D657" s="42"/>
      <c r="E657" s="43"/>
      <c r="AM657" s="19"/>
    </row>
    <row r="658">
      <c r="D658" s="42"/>
      <c r="E658" s="43"/>
      <c r="AM658" s="19"/>
    </row>
    <row r="659">
      <c r="D659" s="42"/>
      <c r="E659" s="43"/>
      <c r="AM659" s="19"/>
    </row>
    <row r="660">
      <c r="D660" s="42"/>
      <c r="E660" s="43"/>
      <c r="AM660" s="19"/>
    </row>
    <row r="661">
      <c r="D661" s="42"/>
      <c r="E661" s="43"/>
      <c r="AM661" s="19"/>
    </row>
    <row r="662">
      <c r="D662" s="42"/>
      <c r="E662" s="43"/>
      <c r="AM662" s="19"/>
    </row>
    <row r="663">
      <c r="D663" s="42"/>
      <c r="E663" s="43"/>
      <c r="AM663" s="19"/>
    </row>
    <row r="664">
      <c r="D664" s="42"/>
      <c r="E664" s="43"/>
      <c r="AM664" s="19"/>
    </row>
    <row r="665">
      <c r="D665" s="42"/>
      <c r="E665" s="43"/>
      <c r="AM665" s="19"/>
    </row>
    <row r="666">
      <c r="D666" s="42"/>
      <c r="E666" s="43"/>
      <c r="AM666" s="19"/>
    </row>
    <row r="667">
      <c r="D667" s="42"/>
      <c r="E667" s="43"/>
      <c r="AM667" s="19"/>
    </row>
    <row r="668">
      <c r="D668" s="42"/>
      <c r="E668" s="43"/>
      <c r="AM668" s="19"/>
    </row>
    <row r="669">
      <c r="D669" s="42"/>
      <c r="E669" s="43"/>
      <c r="AM669" s="19"/>
    </row>
    <row r="670">
      <c r="D670" s="42"/>
      <c r="E670" s="43"/>
      <c r="AM670" s="19"/>
    </row>
    <row r="671">
      <c r="D671" s="42"/>
      <c r="E671" s="43"/>
      <c r="AM671" s="19"/>
    </row>
    <row r="672">
      <c r="D672" s="42"/>
      <c r="E672" s="43"/>
      <c r="AM672" s="19"/>
    </row>
    <row r="673">
      <c r="D673" s="42"/>
      <c r="E673" s="43"/>
      <c r="AM673" s="19"/>
    </row>
    <row r="674">
      <c r="D674" s="42"/>
      <c r="E674" s="43"/>
      <c r="AM674" s="19"/>
    </row>
    <row r="675">
      <c r="D675" s="42"/>
      <c r="E675" s="43"/>
      <c r="AM675" s="19"/>
    </row>
    <row r="676">
      <c r="D676" s="42"/>
      <c r="E676" s="43"/>
      <c r="AM676" s="19"/>
    </row>
    <row r="677">
      <c r="D677" s="42"/>
      <c r="E677" s="43"/>
      <c r="AM677" s="19"/>
    </row>
    <row r="678">
      <c r="D678" s="42"/>
      <c r="E678" s="43"/>
      <c r="AM678" s="19"/>
    </row>
    <row r="679">
      <c r="D679" s="42"/>
      <c r="E679" s="43"/>
      <c r="AM679" s="19"/>
    </row>
    <row r="680">
      <c r="D680" s="42"/>
      <c r="E680" s="43"/>
      <c r="AM680" s="19"/>
    </row>
    <row r="681">
      <c r="D681" s="42"/>
      <c r="E681" s="43"/>
      <c r="AM681" s="19"/>
    </row>
    <row r="682">
      <c r="D682" s="42"/>
      <c r="E682" s="43"/>
      <c r="AM682" s="19"/>
    </row>
    <row r="683">
      <c r="D683" s="42"/>
      <c r="E683" s="43"/>
      <c r="AM683" s="19"/>
    </row>
    <row r="684">
      <c r="D684" s="42"/>
      <c r="E684" s="43"/>
      <c r="AM684" s="19"/>
    </row>
    <row r="685">
      <c r="D685" s="42"/>
      <c r="E685" s="43"/>
      <c r="AM685" s="19"/>
    </row>
    <row r="686">
      <c r="D686" s="42"/>
      <c r="E686" s="43"/>
      <c r="AM686" s="19"/>
    </row>
    <row r="687">
      <c r="D687" s="42"/>
      <c r="E687" s="43"/>
      <c r="AM687" s="19"/>
    </row>
    <row r="688">
      <c r="D688" s="42"/>
      <c r="E688" s="43"/>
      <c r="AM688" s="19"/>
    </row>
    <row r="689">
      <c r="D689" s="42"/>
      <c r="E689" s="43"/>
      <c r="AM689" s="19"/>
    </row>
    <row r="690">
      <c r="D690" s="42"/>
      <c r="E690" s="43"/>
      <c r="AM690" s="19"/>
    </row>
    <row r="691">
      <c r="D691" s="42"/>
      <c r="E691" s="43"/>
      <c r="AM691" s="19"/>
    </row>
    <row r="692">
      <c r="D692" s="42"/>
      <c r="E692" s="43"/>
      <c r="AM692" s="19"/>
    </row>
    <row r="693">
      <c r="D693" s="42"/>
      <c r="E693" s="43"/>
      <c r="AM693" s="19"/>
    </row>
    <row r="694">
      <c r="D694" s="42"/>
      <c r="E694" s="43"/>
      <c r="AM694" s="19"/>
    </row>
    <row r="695">
      <c r="D695" s="42"/>
      <c r="E695" s="43"/>
      <c r="AM695" s="19"/>
    </row>
    <row r="696">
      <c r="D696" s="42"/>
      <c r="E696" s="43"/>
      <c r="AM696" s="19"/>
    </row>
    <row r="697">
      <c r="D697" s="42"/>
      <c r="E697" s="43"/>
      <c r="AM697" s="19"/>
    </row>
    <row r="698">
      <c r="D698" s="42"/>
      <c r="E698" s="43"/>
      <c r="AM698" s="19"/>
    </row>
    <row r="699">
      <c r="D699" s="42"/>
      <c r="E699" s="43"/>
      <c r="AM699" s="19"/>
    </row>
    <row r="700">
      <c r="D700" s="42"/>
      <c r="E700" s="43"/>
      <c r="AM700" s="19"/>
    </row>
    <row r="701">
      <c r="D701" s="42"/>
      <c r="E701" s="43"/>
      <c r="AM701" s="19"/>
    </row>
    <row r="702">
      <c r="D702" s="42"/>
      <c r="E702" s="43"/>
      <c r="AM702" s="19"/>
    </row>
    <row r="703">
      <c r="D703" s="42"/>
      <c r="E703" s="43"/>
      <c r="AM703" s="19"/>
    </row>
    <row r="704">
      <c r="D704" s="42"/>
      <c r="E704" s="43"/>
      <c r="AM704" s="19"/>
    </row>
    <row r="705">
      <c r="D705" s="42"/>
      <c r="E705" s="43"/>
      <c r="AM705" s="19"/>
    </row>
    <row r="706">
      <c r="D706" s="42"/>
      <c r="E706" s="43"/>
      <c r="AM706" s="19"/>
    </row>
    <row r="707">
      <c r="D707" s="42"/>
      <c r="E707" s="43"/>
      <c r="AM707" s="19"/>
    </row>
    <row r="708">
      <c r="D708" s="42"/>
      <c r="E708" s="43"/>
      <c r="AM708" s="19"/>
    </row>
    <row r="709">
      <c r="D709" s="42"/>
      <c r="E709" s="43"/>
      <c r="AM709" s="19"/>
    </row>
    <row r="710">
      <c r="D710" s="42"/>
      <c r="E710" s="43"/>
      <c r="AM710" s="19"/>
    </row>
    <row r="711">
      <c r="D711" s="42"/>
      <c r="E711" s="43"/>
      <c r="AM711" s="19"/>
    </row>
    <row r="712">
      <c r="D712" s="42"/>
      <c r="E712" s="43"/>
      <c r="AM712" s="19"/>
    </row>
    <row r="713">
      <c r="D713" s="42"/>
      <c r="E713" s="43"/>
      <c r="AM713" s="19"/>
    </row>
    <row r="714">
      <c r="D714" s="42"/>
      <c r="E714" s="43"/>
      <c r="AM714" s="19"/>
    </row>
    <row r="715">
      <c r="D715" s="42"/>
      <c r="E715" s="43"/>
      <c r="AM715" s="19"/>
    </row>
    <row r="716">
      <c r="D716" s="42"/>
      <c r="E716" s="43"/>
      <c r="AM716" s="19"/>
    </row>
    <row r="717">
      <c r="D717" s="42"/>
      <c r="E717" s="43"/>
      <c r="AM717" s="19"/>
    </row>
    <row r="718">
      <c r="D718" s="42"/>
      <c r="E718" s="43"/>
      <c r="AM718" s="19"/>
    </row>
    <row r="719">
      <c r="D719" s="42"/>
      <c r="E719" s="43"/>
      <c r="AM719" s="19"/>
    </row>
    <row r="720">
      <c r="D720" s="42"/>
      <c r="E720" s="43"/>
      <c r="AM720" s="19"/>
    </row>
    <row r="721">
      <c r="D721" s="42"/>
      <c r="E721" s="43"/>
      <c r="AM721" s="19"/>
    </row>
    <row r="722">
      <c r="D722" s="42"/>
      <c r="E722" s="43"/>
      <c r="AM722" s="19"/>
    </row>
    <row r="723">
      <c r="D723" s="42"/>
      <c r="E723" s="43"/>
      <c r="AM723" s="19"/>
    </row>
    <row r="724">
      <c r="D724" s="42"/>
      <c r="E724" s="43"/>
      <c r="AM724" s="19"/>
    </row>
    <row r="725">
      <c r="D725" s="42"/>
      <c r="E725" s="43"/>
      <c r="AM725" s="19"/>
    </row>
    <row r="726">
      <c r="D726" s="42"/>
      <c r="E726" s="43"/>
      <c r="AM726" s="19"/>
    </row>
    <row r="727">
      <c r="D727" s="42"/>
      <c r="E727" s="43"/>
      <c r="AM727" s="19"/>
    </row>
    <row r="728">
      <c r="D728" s="42"/>
      <c r="E728" s="43"/>
      <c r="AM728" s="19"/>
    </row>
    <row r="729">
      <c r="D729" s="42"/>
      <c r="E729" s="43"/>
      <c r="AM729" s="19"/>
    </row>
    <row r="730">
      <c r="D730" s="42"/>
      <c r="E730" s="43"/>
      <c r="AM730" s="19"/>
    </row>
    <row r="731">
      <c r="D731" s="42"/>
      <c r="E731" s="43"/>
      <c r="AM731" s="19"/>
    </row>
    <row r="732">
      <c r="D732" s="42"/>
      <c r="E732" s="43"/>
      <c r="AM732" s="19"/>
    </row>
    <row r="733">
      <c r="D733" s="42"/>
      <c r="E733" s="43"/>
      <c r="AM733" s="19"/>
    </row>
    <row r="734">
      <c r="D734" s="42"/>
      <c r="E734" s="43"/>
      <c r="AM734" s="19"/>
    </row>
    <row r="735">
      <c r="D735" s="42"/>
      <c r="E735" s="43"/>
      <c r="AM735" s="19"/>
    </row>
    <row r="736">
      <c r="D736" s="42"/>
      <c r="E736" s="43"/>
      <c r="AM736" s="19"/>
    </row>
    <row r="737">
      <c r="D737" s="42"/>
      <c r="E737" s="43"/>
      <c r="AM737" s="19"/>
    </row>
    <row r="738">
      <c r="D738" s="42"/>
      <c r="E738" s="43"/>
      <c r="AM738" s="19"/>
    </row>
    <row r="739">
      <c r="D739" s="42"/>
      <c r="E739" s="43"/>
      <c r="AM739" s="19"/>
    </row>
    <row r="740">
      <c r="D740" s="42"/>
      <c r="E740" s="43"/>
      <c r="AM740" s="19"/>
    </row>
    <row r="741">
      <c r="D741" s="42"/>
      <c r="E741" s="43"/>
      <c r="AM741" s="19"/>
    </row>
    <row r="742">
      <c r="D742" s="42"/>
      <c r="E742" s="43"/>
      <c r="AM742" s="19"/>
    </row>
    <row r="743">
      <c r="D743" s="42"/>
      <c r="E743" s="43"/>
      <c r="AM743" s="19"/>
    </row>
    <row r="744">
      <c r="D744" s="42"/>
      <c r="E744" s="43"/>
      <c r="AM744" s="19"/>
    </row>
    <row r="745">
      <c r="D745" s="42"/>
      <c r="E745" s="43"/>
      <c r="AM745" s="19"/>
    </row>
    <row r="746">
      <c r="D746" s="42"/>
      <c r="E746" s="43"/>
      <c r="AM746" s="19"/>
    </row>
    <row r="747">
      <c r="D747" s="42"/>
      <c r="E747" s="43"/>
      <c r="AM747" s="19"/>
    </row>
    <row r="748">
      <c r="D748" s="42"/>
      <c r="E748" s="43"/>
      <c r="AM748" s="19"/>
    </row>
    <row r="749">
      <c r="D749" s="42"/>
      <c r="E749" s="43"/>
      <c r="AM749" s="19"/>
    </row>
    <row r="750">
      <c r="D750" s="42"/>
      <c r="E750" s="43"/>
      <c r="AM750" s="19"/>
    </row>
    <row r="751">
      <c r="D751" s="42"/>
      <c r="E751" s="43"/>
      <c r="AM751" s="19"/>
    </row>
    <row r="752">
      <c r="D752" s="42"/>
      <c r="E752" s="43"/>
      <c r="AM752" s="19"/>
    </row>
    <row r="753">
      <c r="D753" s="42"/>
      <c r="E753" s="43"/>
      <c r="AM753" s="19"/>
    </row>
    <row r="754">
      <c r="D754" s="42"/>
      <c r="E754" s="43"/>
      <c r="AM754" s="19"/>
    </row>
    <row r="755">
      <c r="D755" s="42"/>
      <c r="E755" s="43"/>
      <c r="AM755" s="19"/>
    </row>
    <row r="756">
      <c r="D756" s="42"/>
      <c r="E756" s="43"/>
      <c r="AM756" s="19"/>
    </row>
    <row r="757">
      <c r="D757" s="42"/>
      <c r="E757" s="43"/>
      <c r="AM757" s="19"/>
    </row>
    <row r="758">
      <c r="D758" s="42"/>
      <c r="E758" s="43"/>
      <c r="AM758" s="19"/>
    </row>
    <row r="759">
      <c r="D759" s="42"/>
      <c r="E759" s="43"/>
      <c r="AM759" s="19"/>
    </row>
    <row r="760">
      <c r="D760" s="42"/>
      <c r="E760" s="43"/>
      <c r="AM760" s="19"/>
    </row>
    <row r="761">
      <c r="D761" s="42"/>
      <c r="E761" s="43"/>
      <c r="AM761" s="19"/>
    </row>
    <row r="762">
      <c r="D762" s="42"/>
      <c r="E762" s="43"/>
      <c r="AM762" s="19"/>
    </row>
    <row r="763">
      <c r="D763" s="42"/>
      <c r="E763" s="43"/>
      <c r="AM763" s="19"/>
    </row>
    <row r="764">
      <c r="D764" s="42"/>
      <c r="E764" s="43"/>
      <c r="AM764" s="19"/>
    </row>
    <row r="765">
      <c r="D765" s="42"/>
      <c r="E765" s="43"/>
      <c r="AM765" s="19"/>
    </row>
    <row r="766">
      <c r="D766" s="42"/>
      <c r="E766" s="43"/>
      <c r="AM766" s="19"/>
    </row>
    <row r="767">
      <c r="D767" s="42"/>
      <c r="E767" s="43"/>
      <c r="AM767" s="19"/>
    </row>
    <row r="768">
      <c r="D768" s="42"/>
      <c r="E768" s="43"/>
      <c r="AM768" s="19"/>
    </row>
    <row r="769">
      <c r="D769" s="42"/>
      <c r="E769" s="43"/>
      <c r="AM769" s="19"/>
    </row>
    <row r="770">
      <c r="D770" s="42"/>
      <c r="E770" s="43"/>
      <c r="AM770" s="19"/>
    </row>
    <row r="771">
      <c r="D771" s="42"/>
      <c r="E771" s="43"/>
      <c r="AM771" s="19"/>
    </row>
    <row r="772">
      <c r="D772" s="42"/>
      <c r="E772" s="43"/>
      <c r="AM772" s="19"/>
    </row>
    <row r="773">
      <c r="D773" s="42"/>
      <c r="E773" s="43"/>
      <c r="AM773" s="19"/>
    </row>
    <row r="774">
      <c r="D774" s="42"/>
      <c r="E774" s="43"/>
      <c r="AM774" s="19"/>
    </row>
    <row r="775">
      <c r="D775" s="42"/>
      <c r="E775" s="43"/>
      <c r="AM775" s="19"/>
    </row>
    <row r="776">
      <c r="D776" s="42"/>
      <c r="E776" s="43"/>
      <c r="AM776" s="19"/>
    </row>
    <row r="777">
      <c r="D777" s="42"/>
      <c r="E777" s="43"/>
      <c r="AM777" s="19"/>
    </row>
    <row r="778">
      <c r="D778" s="42"/>
      <c r="E778" s="43"/>
      <c r="AM778" s="19"/>
    </row>
    <row r="779">
      <c r="D779" s="42"/>
      <c r="E779" s="43"/>
      <c r="AM779" s="19"/>
    </row>
    <row r="780">
      <c r="D780" s="42"/>
      <c r="E780" s="43"/>
      <c r="AM780" s="19"/>
    </row>
    <row r="781">
      <c r="D781" s="42"/>
      <c r="E781" s="43"/>
      <c r="AM781" s="19"/>
    </row>
    <row r="782">
      <c r="D782" s="42"/>
      <c r="E782" s="43"/>
      <c r="AM782" s="19"/>
    </row>
    <row r="783">
      <c r="D783" s="42"/>
      <c r="E783" s="43"/>
      <c r="AM783" s="19"/>
    </row>
    <row r="784">
      <c r="D784" s="42"/>
      <c r="E784" s="43"/>
      <c r="AM784" s="19"/>
    </row>
    <row r="785">
      <c r="D785" s="42"/>
      <c r="E785" s="43"/>
      <c r="AM785" s="19"/>
    </row>
    <row r="786">
      <c r="D786" s="42"/>
      <c r="E786" s="43"/>
      <c r="AM786" s="19"/>
    </row>
    <row r="787">
      <c r="D787" s="42"/>
      <c r="E787" s="43"/>
      <c r="AM787" s="19"/>
    </row>
    <row r="788">
      <c r="D788" s="42"/>
      <c r="E788" s="43"/>
      <c r="AM788" s="19"/>
    </row>
    <row r="789">
      <c r="D789" s="42"/>
      <c r="E789" s="43"/>
      <c r="AM789" s="19"/>
    </row>
    <row r="790">
      <c r="D790" s="42"/>
      <c r="E790" s="43"/>
      <c r="AM790" s="19"/>
    </row>
    <row r="791">
      <c r="D791" s="42"/>
      <c r="E791" s="43"/>
      <c r="AM791" s="19"/>
    </row>
    <row r="792">
      <c r="D792" s="42"/>
      <c r="E792" s="43"/>
      <c r="AM792" s="19"/>
    </row>
    <row r="793">
      <c r="D793" s="42"/>
      <c r="E793" s="43"/>
      <c r="AM793" s="19"/>
    </row>
    <row r="794">
      <c r="D794" s="42"/>
      <c r="E794" s="43"/>
      <c r="AM794" s="19"/>
    </row>
    <row r="795">
      <c r="D795" s="42"/>
      <c r="E795" s="43"/>
      <c r="AM795" s="19"/>
    </row>
    <row r="796">
      <c r="D796" s="42"/>
      <c r="E796" s="43"/>
      <c r="AM796" s="19"/>
    </row>
    <row r="797">
      <c r="D797" s="42"/>
      <c r="E797" s="43"/>
      <c r="AM797" s="19"/>
    </row>
    <row r="798">
      <c r="D798" s="42"/>
      <c r="E798" s="43"/>
      <c r="AM798" s="19"/>
    </row>
    <row r="799">
      <c r="D799" s="42"/>
      <c r="E799" s="43"/>
      <c r="AM799" s="19"/>
    </row>
    <row r="800">
      <c r="D800" s="42"/>
      <c r="E800" s="43"/>
      <c r="AM800" s="19"/>
    </row>
    <row r="801">
      <c r="D801" s="42"/>
      <c r="E801" s="43"/>
      <c r="AM801" s="19"/>
    </row>
    <row r="802">
      <c r="D802" s="42"/>
      <c r="E802" s="43"/>
      <c r="AM802" s="19"/>
    </row>
    <row r="803">
      <c r="D803" s="42"/>
      <c r="E803" s="43"/>
      <c r="AM803" s="19"/>
    </row>
    <row r="804">
      <c r="D804" s="42"/>
      <c r="E804" s="43"/>
      <c r="AM804" s="19"/>
    </row>
    <row r="805">
      <c r="D805" s="42"/>
      <c r="E805" s="43"/>
      <c r="AM805" s="19"/>
    </row>
    <row r="806">
      <c r="D806" s="42"/>
      <c r="E806" s="43"/>
      <c r="AM806" s="19"/>
    </row>
    <row r="807">
      <c r="D807" s="42"/>
      <c r="E807" s="43"/>
      <c r="AM807" s="19"/>
    </row>
    <row r="808">
      <c r="D808" s="42"/>
      <c r="E808" s="43"/>
      <c r="AM808" s="19"/>
    </row>
    <row r="809">
      <c r="D809" s="42"/>
      <c r="E809" s="43"/>
      <c r="AM809" s="19"/>
    </row>
    <row r="810">
      <c r="D810" s="42"/>
      <c r="E810" s="43"/>
      <c r="AM810" s="19"/>
    </row>
    <row r="811">
      <c r="D811" s="42"/>
      <c r="E811" s="43"/>
      <c r="AM811" s="19"/>
    </row>
    <row r="812">
      <c r="D812" s="42"/>
      <c r="E812" s="43"/>
      <c r="AM812" s="19"/>
    </row>
    <row r="813">
      <c r="D813" s="42"/>
      <c r="E813" s="43"/>
      <c r="AM813" s="19"/>
    </row>
    <row r="814">
      <c r="D814" s="42"/>
      <c r="E814" s="43"/>
      <c r="AM814" s="19"/>
    </row>
    <row r="815">
      <c r="D815" s="42"/>
      <c r="E815" s="43"/>
      <c r="AM815" s="19"/>
    </row>
    <row r="816">
      <c r="D816" s="42"/>
      <c r="E816" s="43"/>
      <c r="AM816" s="19"/>
    </row>
    <row r="817">
      <c r="D817" s="42"/>
      <c r="E817" s="43"/>
      <c r="AM817" s="19"/>
    </row>
    <row r="818">
      <c r="D818" s="42"/>
      <c r="E818" s="43"/>
      <c r="AM818" s="19"/>
    </row>
    <row r="819">
      <c r="D819" s="42"/>
      <c r="E819" s="43"/>
      <c r="AM819" s="19"/>
    </row>
    <row r="820">
      <c r="D820" s="42"/>
      <c r="E820" s="43"/>
      <c r="AM820" s="19"/>
    </row>
    <row r="821">
      <c r="D821" s="42"/>
      <c r="E821" s="43"/>
      <c r="AM821" s="19"/>
    </row>
    <row r="822">
      <c r="D822" s="42"/>
      <c r="E822" s="43"/>
      <c r="AM822" s="19"/>
    </row>
    <row r="823">
      <c r="D823" s="42"/>
      <c r="E823" s="43"/>
      <c r="AM823" s="19"/>
    </row>
    <row r="824">
      <c r="D824" s="42"/>
      <c r="E824" s="43"/>
      <c r="AM824" s="19"/>
    </row>
    <row r="825">
      <c r="D825" s="42"/>
      <c r="E825" s="43"/>
      <c r="AM825" s="19"/>
    </row>
    <row r="826">
      <c r="D826" s="42"/>
      <c r="E826" s="43"/>
      <c r="AM826" s="19"/>
    </row>
    <row r="827">
      <c r="D827" s="42"/>
      <c r="E827" s="43"/>
      <c r="AM827" s="19"/>
    </row>
    <row r="828">
      <c r="D828" s="42"/>
      <c r="E828" s="43"/>
      <c r="AM828" s="19"/>
    </row>
    <row r="829">
      <c r="D829" s="42"/>
      <c r="E829" s="43"/>
      <c r="AM829" s="19"/>
    </row>
    <row r="830">
      <c r="D830" s="42"/>
      <c r="E830" s="43"/>
      <c r="AM830" s="19"/>
    </row>
    <row r="831">
      <c r="D831" s="42"/>
      <c r="E831" s="43"/>
      <c r="AM831" s="19"/>
    </row>
    <row r="832">
      <c r="D832" s="42"/>
      <c r="E832" s="43"/>
      <c r="AM832" s="19"/>
    </row>
    <row r="833">
      <c r="D833" s="42"/>
      <c r="E833" s="43"/>
      <c r="AM833" s="19"/>
    </row>
    <row r="834">
      <c r="D834" s="42"/>
      <c r="E834" s="43"/>
      <c r="AM834" s="19"/>
    </row>
    <row r="835">
      <c r="D835" s="42"/>
      <c r="E835" s="43"/>
      <c r="AM835" s="19"/>
    </row>
    <row r="836">
      <c r="D836" s="42"/>
      <c r="E836" s="43"/>
      <c r="AM836" s="19"/>
    </row>
    <row r="837">
      <c r="D837" s="42"/>
      <c r="E837" s="43"/>
      <c r="AM837" s="19"/>
    </row>
    <row r="838">
      <c r="D838" s="42"/>
      <c r="E838" s="43"/>
      <c r="AM838" s="19"/>
    </row>
    <row r="839">
      <c r="D839" s="42"/>
      <c r="E839" s="43"/>
      <c r="AM839" s="19"/>
    </row>
    <row r="840">
      <c r="D840" s="42"/>
      <c r="E840" s="43"/>
      <c r="AM840" s="19"/>
    </row>
    <row r="841">
      <c r="D841" s="42"/>
      <c r="E841" s="43"/>
      <c r="AM841" s="19"/>
    </row>
    <row r="842">
      <c r="D842" s="42"/>
      <c r="E842" s="43"/>
      <c r="AM842" s="19"/>
    </row>
    <row r="843">
      <c r="D843" s="42"/>
      <c r="E843" s="43"/>
      <c r="AM843" s="19"/>
    </row>
    <row r="844">
      <c r="D844" s="42"/>
      <c r="E844" s="43"/>
      <c r="AM844" s="19"/>
    </row>
    <row r="845">
      <c r="D845" s="42"/>
      <c r="E845" s="43"/>
      <c r="AM845" s="19"/>
    </row>
    <row r="846">
      <c r="D846" s="42"/>
      <c r="E846" s="43"/>
      <c r="AM846" s="19"/>
    </row>
    <row r="847">
      <c r="D847" s="42"/>
      <c r="E847" s="43"/>
      <c r="AM847" s="19"/>
    </row>
    <row r="848">
      <c r="D848" s="42"/>
      <c r="E848" s="43"/>
      <c r="AM848" s="19"/>
    </row>
    <row r="849">
      <c r="D849" s="42"/>
      <c r="E849" s="43"/>
      <c r="AM849" s="19"/>
    </row>
    <row r="850">
      <c r="D850" s="42"/>
      <c r="E850" s="43"/>
      <c r="AM850" s="19"/>
    </row>
    <row r="851">
      <c r="D851" s="42"/>
      <c r="E851" s="43"/>
      <c r="AM851" s="19"/>
    </row>
    <row r="852">
      <c r="D852" s="42"/>
      <c r="E852" s="43"/>
      <c r="AM852" s="19"/>
    </row>
    <row r="853">
      <c r="D853" s="42"/>
      <c r="E853" s="43"/>
      <c r="AM853" s="19"/>
    </row>
    <row r="854">
      <c r="D854" s="42"/>
      <c r="E854" s="43"/>
      <c r="AM854" s="19"/>
    </row>
    <row r="855">
      <c r="D855" s="42"/>
      <c r="E855" s="43"/>
      <c r="AM855" s="19"/>
    </row>
    <row r="856">
      <c r="D856" s="42"/>
      <c r="E856" s="43"/>
      <c r="AM856" s="19"/>
    </row>
    <row r="857">
      <c r="D857" s="42"/>
      <c r="E857" s="43"/>
      <c r="AM857" s="19"/>
    </row>
    <row r="858">
      <c r="D858" s="42"/>
      <c r="E858" s="43"/>
      <c r="AM858" s="19"/>
    </row>
    <row r="859">
      <c r="D859" s="42"/>
      <c r="E859" s="43"/>
      <c r="AM859" s="19"/>
    </row>
    <row r="860">
      <c r="D860" s="42"/>
      <c r="E860" s="43"/>
      <c r="AM860" s="19"/>
    </row>
    <row r="861">
      <c r="D861" s="42"/>
      <c r="E861" s="43"/>
      <c r="AM861" s="19"/>
    </row>
    <row r="862">
      <c r="D862" s="42"/>
      <c r="E862" s="43"/>
      <c r="AM862" s="19"/>
    </row>
    <row r="863">
      <c r="D863" s="42"/>
      <c r="E863" s="43"/>
      <c r="AM863" s="19"/>
    </row>
    <row r="864">
      <c r="D864" s="42"/>
      <c r="E864" s="43"/>
      <c r="AM864" s="19"/>
    </row>
    <row r="865">
      <c r="D865" s="42"/>
      <c r="E865" s="43"/>
      <c r="AM865" s="19"/>
    </row>
    <row r="866">
      <c r="D866" s="42"/>
      <c r="E866" s="43"/>
      <c r="AM866" s="19"/>
    </row>
    <row r="867">
      <c r="D867" s="42"/>
      <c r="E867" s="43"/>
      <c r="AM867" s="19"/>
    </row>
    <row r="868">
      <c r="D868" s="42"/>
      <c r="E868" s="43"/>
      <c r="AM868" s="19"/>
    </row>
    <row r="869">
      <c r="D869" s="42"/>
      <c r="E869" s="43"/>
      <c r="AM869" s="19"/>
    </row>
    <row r="870">
      <c r="D870" s="42"/>
      <c r="E870" s="43"/>
      <c r="AM870" s="19"/>
    </row>
    <row r="871">
      <c r="D871" s="42"/>
      <c r="E871" s="43"/>
      <c r="AM871" s="19"/>
    </row>
    <row r="872">
      <c r="D872" s="42"/>
      <c r="E872" s="43"/>
      <c r="AM872" s="19"/>
    </row>
    <row r="873">
      <c r="D873" s="42"/>
      <c r="E873" s="43"/>
      <c r="AM873" s="19"/>
    </row>
    <row r="874">
      <c r="D874" s="42"/>
      <c r="E874" s="43"/>
      <c r="AM874" s="19"/>
    </row>
    <row r="875">
      <c r="D875" s="42"/>
      <c r="E875" s="43"/>
      <c r="AM875" s="19"/>
    </row>
    <row r="876">
      <c r="D876" s="42"/>
      <c r="E876" s="43"/>
      <c r="AM876" s="19"/>
    </row>
    <row r="877">
      <c r="D877" s="42"/>
      <c r="E877" s="43"/>
      <c r="AM877" s="19"/>
    </row>
    <row r="878">
      <c r="D878" s="42"/>
      <c r="E878" s="43"/>
      <c r="AM878" s="19"/>
    </row>
    <row r="879">
      <c r="D879" s="42"/>
      <c r="E879" s="43"/>
      <c r="AM879" s="19"/>
    </row>
    <row r="880">
      <c r="D880" s="42"/>
      <c r="E880" s="43"/>
      <c r="AM880" s="19"/>
    </row>
    <row r="881">
      <c r="D881" s="42"/>
      <c r="E881" s="43"/>
      <c r="AM881" s="19"/>
    </row>
    <row r="882">
      <c r="D882" s="42"/>
      <c r="E882" s="43"/>
      <c r="AM882" s="19"/>
    </row>
    <row r="883">
      <c r="D883" s="42"/>
      <c r="E883" s="43"/>
      <c r="AM883" s="19"/>
    </row>
    <row r="884">
      <c r="D884" s="42"/>
      <c r="E884" s="43"/>
      <c r="AM884" s="19"/>
    </row>
    <row r="885">
      <c r="D885" s="42"/>
      <c r="E885" s="43"/>
      <c r="AM885" s="19"/>
    </row>
    <row r="886">
      <c r="D886" s="42"/>
      <c r="E886" s="43"/>
      <c r="AM886" s="19"/>
    </row>
    <row r="887">
      <c r="D887" s="42"/>
      <c r="E887" s="43"/>
      <c r="AM887" s="19"/>
    </row>
    <row r="888">
      <c r="D888" s="42"/>
      <c r="E888" s="43"/>
      <c r="AM888" s="19"/>
    </row>
    <row r="889">
      <c r="D889" s="42"/>
      <c r="E889" s="43"/>
      <c r="AM889" s="19"/>
    </row>
    <row r="890">
      <c r="D890" s="42"/>
      <c r="E890" s="43"/>
      <c r="AM890" s="19"/>
    </row>
    <row r="891">
      <c r="D891" s="42"/>
      <c r="E891" s="43"/>
      <c r="AM891" s="19"/>
    </row>
    <row r="892">
      <c r="D892" s="42"/>
      <c r="E892" s="43"/>
      <c r="AM892" s="19"/>
    </row>
    <row r="893">
      <c r="D893" s="42"/>
      <c r="E893" s="43"/>
      <c r="AM893" s="19"/>
    </row>
    <row r="894">
      <c r="D894" s="42"/>
      <c r="E894" s="43"/>
      <c r="AM894" s="19"/>
    </row>
    <row r="895">
      <c r="D895" s="42"/>
      <c r="E895" s="43"/>
      <c r="AM895" s="19"/>
    </row>
    <row r="896">
      <c r="D896" s="42"/>
      <c r="E896" s="43"/>
      <c r="AM896" s="19"/>
    </row>
    <row r="897">
      <c r="D897" s="42"/>
      <c r="E897" s="43"/>
      <c r="AM897" s="19"/>
    </row>
    <row r="898">
      <c r="D898" s="42"/>
      <c r="E898" s="43"/>
      <c r="AM898" s="19"/>
    </row>
    <row r="899">
      <c r="D899" s="42"/>
      <c r="E899" s="43"/>
      <c r="AM899" s="19"/>
    </row>
    <row r="900">
      <c r="D900" s="42"/>
      <c r="E900" s="43"/>
      <c r="AM900" s="19"/>
    </row>
    <row r="901">
      <c r="D901" s="42"/>
      <c r="E901" s="43"/>
      <c r="AM901" s="19"/>
    </row>
    <row r="902">
      <c r="D902" s="42"/>
      <c r="E902" s="43"/>
      <c r="AM902" s="19"/>
    </row>
    <row r="903">
      <c r="D903" s="42"/>
      <c r="E903" s="43"/>
      <c r="AM903" s="19"/>
    </row>
    <row r="904">
      <c r="D904" s="42"/>
      <c r="E904" s="43"/>
      <c r="AM904" s="19"/>
    </row>
    <row r="905">
      <c r="D905" s="42"/>
      <c r="E905" s="43"/>
      <c r="AM905" s="19"/>
    </row>
    <row r="906">
      <c r="D906" s="42"/>
      <c r="E906" s="43"/>
      <c r="AM906" s="19"/>
    </row>
    <row r="907">
      <c r="D907" s="42"/>
      <c r="E907" s="43"/>
      <c r="AM907" s="19"/>
    </row>
    <row r="908">
      <c r="D908" s="42"/>
      <c r="E908" s="43"/>
      <c r="AM908" s="19"/>
    </row>
    <row r="909">
      <c r="D909" s="42"/>
      <c r="E909" s="43"/>
      <c r="AM909" s="19"/>
    </row>
    <row r="910">
      <c r="D910" s="42"/>
      <c r="E910" s="43"/>
      <c r="AM910" s="19"/>
    </row>
    <row r="911">
      <c r="D911" s="42"/>
      <c r="E911" s="43"/>
      <c r="AM911" s="19"/>
    </row>
    <row r="912">
      <c r="D912" s="42"/>
      <c r="E912" s="43"/>
      <c r="AM912" s="19"/>
    </row>
    <row r="913">
      <c r="D913" s="42"/>
      <c r="E913" s="43"/>
      <c r="AM913" s="19"/>
    </row>
    <row r="914">
      <c r="D914" s="42"/>
      <c r="E914" s="43"/>
      <c r="AM914" s="19"/>
    </row>
    <row r="915">
      <c r="D915" s="42"/>
      <c r="E915" s="43"/>
      <c r="AM915" s="19"/>
    </row>
    <row r="916">
      <c r="D916" s="42"/>
      <c r="E916" s="43"/>
      <c r="AM916" s="19"/>
    </row>
    <row r="917">
      <c r="D917" s="42"/>
      <c r="E917" s="43"/>
      <c r="AM917" s="19"/>
    </row>
    <row r="918">
      <c r="D918" s="42"/>
      <c r="E918" s="43"/>
      <c r="AM918" s="19"/>
    </row>
    <row r="919">
      <c r="D919" s="42"/>
      <c r="E919" s="43"/>
      <c r="AM919" s="19"/>
    </row>
    <row r="920">
      <c r="D920" s="42"/>
      <c r="E920" s="43"/>
      <c r="AM920" s="19"/>
    </row>
    <row r="921">
      <c r="D921" s="42"/>
      <c r="E921" s="43"/>
      <c r="AM921" s="19"/>
    </row>
    <row r="922">
      <c r="D922" s="42"/>
      <c r="E922" s="43"/>
      <c r="AM922" s="19"/>
    </row>
    <row r="923">
      <c r="D923" s="42"/>
      <c r="E923" s="43"/>
      <c r="AM923" s="19"/>
    </row>
    <row r="924">
      <c r="D924" s="42"/>
      <c r="E924" s="43"/>
      <c r="AM924" s="19"/>
    </row>
    <row r="925">
      <c r="D925" s="42"/>
      <c r="E925" s="43"/>
      <c r="AM925" s="19"/>
    </row>
    <row r="926">
      <c r="D926" s="42"/>
      <c r="E926" s="43"/>
      <c r="AM926" s="19"/>
    </row>
    <row r="927">
      <c r="D927" s="42"/>
      <c r="E927" s="43"/>
      <c r="AM927" s="19"/>
    </row>
    <row r="928">
      <c r="D928" s="42"/>
      <c r="E928" s="43"/>
      <c r="AM928" s="19"/>
    </row>
    <row r="929">
      <c r="D929" s="42"/>
      <c r="E929" s="43"/>
      <c r="AM929" s="19"/>
    </row>
    <row r="930">
      <c r="D930" s="42"/>
      <c r="E930" s="43"/>
      <c r="AM930" s="19"/>
    </row>
    <row r="931">
      <c r="D931" s="42"/>
      <c r="E931" s="43"/>
      <c r="AM931" s="19"/>
    </row>
    <row r="932">
      <c r="D932" s="42"/>
      <c r="E932" s="43"/>
      <c r="AM932" s="19"/>
    </row>
    <row r="933">
      <c r="D933" s="42"/>
      <c r="E933" s="43"/>
      <c r="AM933" s="19"/>
    </row>
    <row r="934">
      <c r="D934" s="42"/>
      <c r="E934" s="43"/>
      <c r="AM934" s="19"/>
    </row>
    <row r="935">
      <c r="D935" s="42"/>
      <c r="E935" s="43"/>
      <c r="AM935" s="19"/>
    </row>
    <row r="936">
      <c r="D936" s="42"/>
      <c r="E936" s="43"/>
      <c r="AM936" s="19"/>
    </row>
    <row r="937">
      <c r="D937" s="42"/>
      <c r="E937" s="43"/>
      <c r="AM937" s="19"/>
    </row>
    <row r="938">
      <c r="D938" s="42"/>
      <c r="E938" s="43"/>
      <c r="AM938" s="19"/>
    </row>
    <row r="939">
      <c r="D939" s="42"/>
      <c r="E939" s="43"/>
      <c r="AM939" s="19"/>
    </row>
    <row r="940">
      <c r="D940" s="42"/>
      <c r="E940" s="43"/>
      <c r="AM940" s="19"/>
    </row>
    <row r="941">
      <c r="D941" s="42"/>
      <c r="E941" s="43"/>
      <c r="AM941" s="19"/>
    </row>
    <row r="942">
      <c r="D942" s="42"/>
      <c r="E942" s="43"/>
      <c r="AM942" s="19"/>
    </row>
    <row r="943">
      <c r="D943" s="42"/>
      <c r="E943" s="43"/>
      <c r="AM943" s="19"/>
    </row>
    <row r="944">
      <c r="D944" s="42"/>
      <c r="E944" s="43"/>
      <c r="AM944" s="19"/>
    </row>
    <row r="945">
      <c r="D945" s="42"/>
      <c r="E945" s="43"/>
      <c r="AM945" s="19"/>
    </row>
    <row r="946">
      <c r="D946" s="42"/>
      <c r="E946" s="43"/>
      <c r="AM946" s="19"/>
    </row>
    <row r="947">
      <c r="D947" s="42"/>
      <c r="E947" s="43"/>
      <c r="AM947" s="19"/>
    </row>
    <row r="948">
      <c r="D948" s="42"/>
      <c r="E948" s="43"/>
      <c r="AM948" s="19"/>
    </row>
    <row r="949">
      <c r="D949" s="42"/>
      <c r="E949" s="43"/>
      <c r="AM949" s="19"/>
    </row>
    <row r="950">
      <c r="D950" s="42"/>
      <c r="E950" s="43"/>
      <c r="AM950" s="19"/>
    </row>
    <row r="951">
      <c r="D951" s="42"/>
      <c r="E951" s="43"/>
      <c r="AM951" s="19"/>
    </row>
    <row r="952">
      <c r="D952" s="42"/>
      <c r="E952" s="43"/>
      <c r="AM952" s="19"/>
    </row>
    <row r="953">
      <c r="D953" s="42"/>
      <c r="E953" s="43"/>
      <c r="AM953" s="19"/>
    </row>
    <row r="954">
      <c r="D954" s="42"/>
      <c r="E954" s="43"/>
      <c r="AM954" s="19"/>
    </row>
    <row r="955">
      <c r="D955" s="42"/>
      <c r="E955" s="43"/>
      <c r="AM955" s="19"/>
    </row>
    <row r="956">
      <c r="D956" s="42"/>
      <c r="E956" s="43"/>
      <c r="AM956" s="19"/>
    </row>
    <row r="957">
      <c r="D957" s="42"/>
      <c r="E957" s="43"/>
      <c r="AM957" s="19"/>
    </row>
    <row r="958">
      <c r="D958" s="42"/>
      <c r="E958" s="43"/>
      <c r="AM958" s="19"/>
    </row>
    <row r="959">
      <c r="D959" s="42"/>
      <c r="E959" s="43"/>
      <c r="AM959" s="19"/>
    </row>
    <row r="960">
      <c r="D960" s="42"/>
      <c r="E960" s="43"/>
      <c r="AM960" s="19"/>
    </row>
    <row r="961">
      <c r="D961" s="42"/>
      <c r="E961" s="43"/>
      <c r="AM961" s="19"/>
    </row>
    <row r="962">
      <c r="D962" s="42"/>
      <c r="E962" s="43"/>
      <c r="AM962" s="19"/>
    </row>
    <row r="963">
      <c r="D963" s="42"/>
      <c r="E963" s="43"/>
      <c r="AM963" s="19"/>
    </row>
    <row r="964">
      <c r="D964" s="42"/>
      <c r="E964" s="43"/>
      <c r="AM964" s="19"/>
    </row>
    <row r="965">
      <c r="D965" s="42"/>
      <c r="E965" s="43"/>
      <c r="AM965" s="19"/>
    </row>
    <row r="966">
      <c r="D966" s="42"/>
      <c r="E966" s="43"/>
      <c r="AM966" s="19"/>
    </row>
    <row r="967">
      <c r="D967" s="42"/>
      <c r="E967" s="43"/>
      <c r="AM967" s="19"/>
    </row>
    <row r="968">
      <c r="D968" s="42"/>
      <c r="E968" s="43"/>
      <c r="AM968" s="19"/>
    </row>
    <row r="969">
      <c r="D969" s="42"/>
      <c r="E969" s="43"/>
      <c r="AM969" s="19"/>
    </row>
    <row r="970">
      <c r="D970" s="42"/>
      <c r="E970" s="43"/>
      <c r="AM970" s="19"/>
    </row>
    <row r="971">
      <c r="D971" s="42"/>
      <c r="E971" s="43"/>
      <c r="AM971" s="19"/>
    </row>
    <row r="972">
      <c r="D972" s="42"/>
      <c r="E972" s="43"/>
      <c r="AM972" s="19"/>
    </row>
    <row r="973">
      <c r="D973" s="42"/>
      <c r="E973" s="43"/>
      <c r="AM973" s="19"/>
    </row>
    <row r="974">
      <c r="D974" s="42"/>
      <c r="E974" s="43"/>
      <c r="AM974" s="19"/>
    </row>
    <row r="975">
      <c r="D975" s="42"/>
      <c r="E975" s="43"/>
      <c r="AM975" s="19"/>
    </row>
    <row r="976">
      <c r="D976" s="42"/>
      <c r="E976" s="43"/>
      <c r="AM976" s="19"/>
    </row>
    <row r="977">
      <c r="D977" s="42"/>
      <c r="E977" s="43"/>
      <c r="AM977" s="19"/>
    </row>
    <row r="978">
      <c r="D978" s="42"/>
      <c r="E978" s="43"/>
      <c r="AM978" s="19"/>
    </row>
    <row r="979">
      <c r="D979" s="42"/>
      <c r="E979" s="43"/>
      <c r="AM979" s="19"/>
    </row>
    <row r="980">
      <c r="D980" s="42"/>
      <c r="E980" s="43"/>
      <c r="AM980" s="19"/>
    </row>
    <row r="981">
      <c r="D981" s="42"/>
      <c r="E981" s="43"/>
      <c r="AM981" s="19"/>
    </row>
    <row r="982">
      <c r="D982" s="42"/>
      <c r="E982" s="43"/>
      <c r="AM982" s="19"/>
    </row>
    <row r="983">
      <c r="D983" s="42"/>
      <c r="E983" s="43"/>
      <c r="AM983" s="19"/>
    </row>
    <row r="984">
      <c r="D984" s="42"/>
      <c r="E984" s="43"/>
      <c r="AM984" s="19"/>
    </row>
    <row r="985">
      <c r="D985" s="42"/>
      <c r="E985" s="43"/>
      <c r="AM985" s="19"/>
    </row>
    <row r="986">
      <c r="D986" s="42"/>
      <c r="E986" s="43"/>
      <c r="AM986" s="19"/>
    </row>
    <row r="987">
      <c r="D987" s="42"/>
      <c r="E987" s="43"/>
      <c r="AM987" s="19"/>
    </row>
    <row r="988">
      <c r="D988" s="42"/>
      <c r="E988" s="43"/>
      <c r="AM988" s="19"/>
    </row>
    <row r="989">
      <c r="D989" s="42"/>
      <c r="E989" s="43"/>
      <c r="AM989" s="19"/>
    </row>
    <row r="990">
      <c r="D990" s="42"/>
      <c r="E990" s="43"/>
      <c r="AM990" s="19"/>
    </row>
    <row r="991">
      <c r="D991" s="42"/>
      <c r="E991" s="43"/>
      <c r="AM991" s="19"/>
    </row>
    <row r="992">
      <c r="D992" s="42"/>
      <c r="E992" s="43"/>
      <c r="AM992" s="19"/>
    </row>
    <row r="993">
      <c r="D993" s="42"/>
      <c r="E993" s="43"/>
      <c r="AM993" s="19"/>
    </row>
    <row r="994">
      <c r="D994" s="42"/>
      <c r="E994" s="43"/>
      <c r="AM994" s="19"/>
    </row>
    <row r="995">
      <c r="D995" s="42"/>
      <c r="E995" s="43"/>
      <c r="AM995" s="19"/>
    </row>
    <row r="996">
      <c r="D996" s="42"/>
      <c r="E996" s="43"/>
      <c r="AM996" s="19"/>
    </row>
    <row r="997">
      <c r="D997" s="42"/>
      <c r="E997" s="43"/>
      <c r="AM997" s="19"/>
    </row>
    <row r="998">
      <c r="D998" s="42"/>
      <c r="E998" s="43"/>
      <c r="AM998" s="19"/>
    </row>
    <row r="999">
      <c r="D999" s="42"/>
      <c r="E999" s="43"/>
      <c r="AM999" s="19"/>
    </row>
    <row r="1000">
      <c r="D1000" s="42"/>
      <c r="E1000" s="43"/>
      <c r="AM1000" s="19"/>
    </row>
    <row r="1001">
      <c r="D1001" s="42"/>
      <c r="E1001" s="43"/>
      <c r="AM1001" s="19"/>
    </row>
    <row r="1002">
      <c r="D1002" s="42"/>
      <c r="E1002" s="43"/>
      <c r="AM1002" s="19"/>
    </row>
    <row r="1003">
      <c r="D1003" s="42"/>
      <c r="E1003" s="43"/>
      <c r="AM1003" s="19"/>
    </row>
    <row r="1004">
      <c r="D1004" s="42"/>
      <c r="E1004" s="43"/>
      <c r="AM1004" s="19"/>
    </row>
    <row r="1005">
      <c r="D1005" s="42"/>
      <c r="E1005" s="43"/>
      <c r="AM1005" s="19"/>
    </row>
    <row r="1006">
      <c r="D1006" s="42"/>
      <c r="E1006" s="43"/>
      <c r="AM1006" s="19"/>
    </row>
    <row r="1007">
      <c r="D1007" s="42"/>
      <c r="E1007" s="43"/>
      <c r="AM1007" s="19"/>
    </row>
    <row r="1008">
      <c r="D1008" s="42"/>
      <c r="E1008" s="43"/>
      <c r="AM1008" s="19"/>
    </row>
    <row r="1009">
      <c r="D1009" s="42"/>
      <c r="E1009" s="43"/>
      <c r="AM1009" s="19"/>
    </row>
    <row r="1010">
      <c r="D1010" s="42"/>
      <c r="E1010" s="43"/>
      <c r="AM1010" s="19"/>
    </row>
    <row r="1011">
      <c r="D1011" s="42"/>
      <c r="E1011" s="43"/>
      <c r="AM1011" s="19"/>
    </row>
    <row r="1012">
      <c r="D1012" s="42"/>
      <c r="E1012" s="43"/>
      <c r="AM1012" s="19"/>
    </row>
    <row r="1013">
      <c r="D1013" s="42"/>
      <c r="E1013" s="43"/>
      <c r="AM1013" s="19"/>
    </row>
    <row r="1014">
      <c r="D1014" s="42"/>
      <c r="E1014" s="43"/>
      <c r="AM1014" s="19"/>
    </row>
    <row r="1015">
      <c r="D1015" s="42"/>
      <c r="E1015" s="43"/>
      <c r="AM1015" s="19"/>
    </row>
    <row r="1016">
      <c r="D1016" s="42"/>
      <c r="E1016" s="43"/>
      <c r="AM1016" s="19"/>
    </row>
  </sheetData>
  <printOptions gridLines="1" horizontalCentered="1"/>
  <pageMargins bottom="0.75" footer="0.0" header="0.0" left="0.7" right="0.7" top="0.75"/>
  <pageSetup fitToHeight="0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100</v>
      </c>
      <c r="B1" s="4" t="s">
        <v>101</v>
      </c>
    </row>
    <row r="2">
      <c r="A2" s="4" t="s">
        <v>17</v>
      </c>
      <c r="B2" s="4" t="s">
        <v>53</v>
      </c>
      <c r="C2" s="3" t="str">
        <f t="array" ref="C2:C1000">if(B2:B1000="x",A2:A1000,"")</f>
        <v>Aaron</v>
      </c>
    </row>
    <row r="3">
      <c r="A3" s="4" t="s">
        <v>18</v>
      </c>
      <c r="B3" s="4" t="s">
        <v>53</v>
      </c>
      <c r="C3" s="3" t="s">
        <v>18</v>
      </c>
    </row>
    <row r="4">
      <c r="A4" s="4" t="s">
        <v>102</v>
      </c>
      <c r="B4" s="4" t="s">
        <v>53</v>
      </c>
      <c r="C4" s="3" t="s">
        <v>102</v>
      </c>
    </row>
    <row r="5">
      <c r="A5" s="4" t="s">
        <v>103</v>
      </c>
      <c r="C5" s="3" t="s">
        <v>88</v>
      </c>
    </row>
    <row r="6">
      <c r="A6" s="4" t="s">
        <v>104</v>
      </c>
      <c r="C6" s="3" t="s">
        <v>88</v>
      </c>
    </row>
    <row r="7">
      <c r="A7" s="4" t="s">
        <v>23</v>
      </c>
      <c r="B7" s="4" t="s">
        <v>53</v>
      </c>
      <c r="C7" s="3" t="s">
        <v>23</v>
      </c>
    </row>
    <row r="8">
      <c r="A8" s="4" t="s">
        <v>26</v>
      </c>
      <c r="B8" s="4" t="s">
        <v>53</v>
      </c>
      <c r="C8" s="3" t="s">
        <v>26</v>
      </c>
    </row>
    <row r="9">
      <c r="A9" s="4" t="s">
        <v>27</v>
      </c>
      <c r="B9" s="4" t="s">
        <v>53</v>
      </c>
      <c r="C9" s="3" t="s">
        <v>27</v>
      </c>
    </row>
    <row r="10">
      <c r="A10" s="4" t="s">
        <v>28</v>
      </c>
      <c r="B10" s="4" t="s">
        <v>53</v>
      </c>
      <c r="C10" s="3" t="s">
        <v>28</v>
      </c>
    </row>
    <row r="11">
      <c r="A11" s="4" t="s">
        <v>105</v>
      </c>
      <c r="C11" s="3" t="s">
        <v>88</v>
      </c>
    </row>
    <row r="12">
      <c r="A12" s="4" t="s">
        <v>32</v>
      </c>
      <c r="B12" s="4" t="s">
        <v>53</v>
      </c>
      <c r="C12" s="3" t="s">
        <v>32</v>
      </c>
    </row>
    <row r="13">
      <c r="A13" s="4" t="s">
        <v>106</v>
      </c>
      <c r="C13" s="3" t="s">
        <v>88</v>
      </c>
    </row>
    <row r="14">
      <c r="A14" s="4" t="s">
        <v>33</v>
      </c>
      <c r="B14" s="4" t="s">
        <v>53</v>
      </c>
      <c r="C14" s="3" t="s">
        <v>33</v>
      </c>
    </row>
    <row r="15">
      <c r="A15" s="4" t="s">
        <v>107</v>
      </c>
      <c r="B15" s="4" t="s">
        <v>53</v>
      </c>
      <c r="C15" s="3" t="s">
        <v>107</v>
      </c>
    </row>
    <row r="16">
      <c r="A16" s="4" t="s">
        <v>108</v>
      </c>
      <c r="C16" s="3" t="s">
        <v>88</v>
      </c>
    </row>
    <row r="17">
      <c r="A17" s="4" t="s">
        <v>35</v>
      </c>
      <c r="B17" s="4" t="s">
        <v>53</v>
      </c>
      <c r="C17" s="3" t="s">
        <v>35</v>
      </c>
    </row>
    <row r="18">
      <c r="A18" s="4" t="s">
        <v>109</v>
      </c>
      <c r="B18" s="4" t="s">
        <v>53</v>
      </c>
      <c r="C18" s="3" t="s">
        <v>109</v>
      </c>
    </row>
    <row r="19">
      <c r="A19" s="4" t="s">
        <v>40</v>
      </c>
      <c r="B19" s="4" t="s">
        <v>53</v>
      </c>
      <c r="C19" s="3" t="s">
        <v>40</v>
      </c>
    </row>
    <row r="20">
      <c r="A20" s="4" t="s">
        <v>40</v>
      </c>
      <c r="B20" s="4" t="s">
        <v>53</v>
      </c>
      <c r="C20" s="3" t="s">
        <v>40</v>
      </c>
    </row>
    <row r="21">
      <c r="A21" s="4" t="s">
        <v>110</v>
      </c>
      <c r="B21" s="4" t="s">
        <v>53</v>
      </c>
      <c r="C21" s="3" t="s">
        <v>110</v>
      </c>
    </row>
    <row r="22">
      <c r="A22" s="4" t="s">
        <v>111</v>
      </c>
      <c r="B22" s="4" t="s">
        <v>53</v>
      </c>
      <c r="C22" s="3" t="s">
        <v>111</v>
      </c>
    </row>
    <row r="23">
      <c r="A23" s="4" t="s">
        <v>42</v>
      </c>
      <c r="B23" s="4" t="s">
        <v>53</v>
      </c>
      <c r="C23" s="3" t="s">
        <v>42</v>
      </c>
    </row>
    <row r="24">
      <c r="A24" s="4" t="s">
        <v>112</v>
      </c>
      <c r="C24" s="3" t="s">
        <v>88</v>
      </c>
    </row>
    <row r="25">
      <c r="A25" s="4" t="s">
        <v>44</v>
      </c>
      <c r="B25" s="4" t="s">
        <v>53</v>
      </c>
      <c r="C25" s="3" t="s">
        <v>44</v>
      </c>
    </row>
    <row r="26">
      <c r="A26" s="4" t="s">
        <v>45</v>
      </c>
      <c r="B26" s="4" t="s">
        <v>53</v>
      </c>
      <c r="C26" s="3" t="s">
        <v>45</v>
      </c>
    </row>
    <row r="27">
      <c r="A27" s="4" t="s">
        <v>46</v>
      </c>
      <c r="B27" s="4" t="s">
        <v>53</v>
      </c>
      <c r="C27" s="3" t="s">
        <v>46</v>
      </c>
    </row>
    <row r="28">
      <c r="A28" s="4" t="s">
        <v>48</v>
      </c>
      <c r="B28" s="4" t="s">
        <v>53</v>
      </c>
      <c r="C28" s="3" t="s">
        <v>48</v>
      </c>
    </row>
    <row r="29">
      <c r="A29" s="4" t="s">
        <v>113</v>
      </c>
      <c r="C29" s="3" t="s">
        <v>88</v>
      </c>
    </row>
    <row r="30">
      <c r="A30" s="4" t="s">
        <v>49</v>
      </c>
      <c r="C30" s="3" t="s">
        <v>88</v>
      </c>
    </row>
    <row r="31">
      <c r="C31" s="3" t="s">
        <v>88</v>
      </c>
    </row>
    <row r="32">
      <c r="C32" s="3" t="s">
        <v>88</v>
      </c>
    </row>
    <row r="33">
      <c r="C33" s="3" t="s">
        <v>88</v>
      </c>
    </row>
    <row r="34">
      <c r="C34" s="3" t="s">
        <v>88</v>
      </c>
    </row>
    <row r="35">
      <c r="C35" s="3" t="s">
        <v>88</v>
      </c>
    </row>
    <row r="36">
      <c r="C36" s="3" t="s">
        <v>88</v>
      </c>
    </row>
    <row r="37">
      <c r="C37" s="3" t="s">
        <v>88</v>
      </c>
    </row>
    <row r="38">
      <c r="C38" s="3" t="s">
        <v>88</v>
      </c>
    </row>
    <row r="39">
      <c r="C39" s="3" t="s">
        <v>88</v>
      </c>
    </row>
    <row r="40">
      <c r="C40" s="3" t="s">
        <v>88</v>
      </c>
    </row>
    <row r="41">
      <c r="C41" s="3" t="s">
        <v>88</v>
      </c>
    </row>
    <row r="42">
      <c r="C42" s="3" t="s">
        <v>88</v>
      </c>
    </row>
    <row r="43">
      <c r="C43" s="3" t="s">
        <v>88</v>
      </c>
    </row>
    <row r="44">
      <c r="C44" s="3" t="s">
        <v>88</v>
      </c>
    </row>
    <row r="45">
      <c r="C45" s="3" t="s">
        <v>88</v>
      </c>
    </row>
    <row r="46">
      <c r="C46" s="3" t="s">
        <v>88</v>
      </c>
    </row>
    <row r="47">
      <c r="C47" s="3" t="s">
        <v>88</v>
      </c>
    </row>
    <row r="48">
      <c r="C48" s="3" t="s">
        <v>88</v>
      </c>
    </row>
    <row r="49">
      <c r="C49" s="3" t="s">
        <v>88</v>
      </c>
    </row>
    <row r="50">
      <c r="C50" s="3" t="s">
        <v>88</v>
      </c>
    </row>
    <row r="51">
      <c r="C51" s="3" t="s">
        <v>88</v>
      </c>
    </row>
    <row r="52">
      <c r="C52" s="3" t="s">
        <v>88</v>
      </c>
    </row>
    <row r="53">
      <c r="C53" s="3" t="s">
        <v>88</v>
      </c>
    </row>
    <row r="54">
      <c r="C54" s="3" t="s">
        <v>88</v>
      </c>
    </row>
    <row r="55">
      <c r="C55" s="3" t="s">
        <v>88</v>
      </c>
    </row>
    <row r="56">
      <c r="C56" s="3" t="s">
        <v>88</v>
      </c>
    </row>
    <row r="57">
      <c r="C57" s="3" t="s">
        <v>88</v>
      </c>
    </row>
    <row r="58">
      <c r="C58" s="3" t="s">
        <v>88</v>
      </c>
    </row>
    <row r="59">
      <c r="C59" s="3" t="s">
        <v>88</v>
      </c>
    </row>
    <row r="60">
      <c r="C60" s="3" t="s">
        <v>88</v>
      </c>
    </row>
    <row r="61">
      <c r="C61" s="3" t="s">
        <v>88</v>
      </c>
    </row>
    <row r="62">
      <c r="C62" s="3" t="s">
        <v>88</v>
      </c>
    </row>
    <row r="63">
      <c r="C63" s="3" t="s">
        <v>88</v>
      </c>
    </row>
    <row r="64">
      <c r="C64" s="3" t="s">
        <v>88</v>
      </c>
    </row>
    <row r="65">
      <c r="C65" s="3" t="s">
        <v>88</v>
      </c>
    </row>
    <row r="66">
      <c r="C66" s="3" t="s">
        <v>88</v>
      </c>
    </row>
    <row r="67">
      <c r="C67" s="3" t="s">
        <v>88</v>
      </c>
    </row>
    <row r="68">
      <c r="C68" s="3" t="s">
        <v>88</v>
      </c>
    </row>
    <row r="69">
      <c r="C69" s="3" t="s">
        <v>88</v>
      </c>
    </row>
    <row r="70">
      <c r="C70" s="3" t="s">
        <v>88</v>
      </c>
    </row>
    <row r="71">
      <c r="C71" s="3" t="s">
        <v>88</v>
      </c>
    </row>
    <row r="72">
      <c r="C72" s="3" t="s">
        <v>88</v>
      </c>
    </row>
    <row r="73">
      <c r="C73" s="3" t="s">
        <v>88</v>
      </c>
    </row>
    <row r="74">
      <c r="C74" s="3" t="s">
        <v>88</v>
      </c>
    </row>
    <row r="75">
      <c r="C75" s="3" t="s">
        <v>88</v>
      </c>
    </row>
    <row r="76">
      <c r="C76" s="3" t="s">
        <v>88</v>
      </c>
    </row>
    <row r="77">
      <c r="C77" s="3" t="s">
        <v>88</v>
      </c>
    </row>
    <row r="78">
      <c r="C78" s="3" t="s">
        <v>88</v>
      </c>
    </row>
    <row r="79">
      <c r="C79" s="3" t="s">
        <v>88</v>
      </c>
    </row>
    <row r="80">
      <c r="C80" s="3" t="s">
        <v>88</v>
      </c>
    </row>
    <row r="81">
      <c r="C81" s="3" t="s">
        <v>88</v>
      </c>
    </row>
    <row r="82">
      <c r="C82" s="3" t="s">
        <v>88</v>
      </c>
    </row>
    <row r="83">
      <c r="C83" s="3" t="s">
        <v>88</v>
      </c>
    </row>
    <row r="84">
      <c r="C84" s="3" t="s">
        <v>88</v>
      </c>
    </row>
    <row r="85">
      <c r="C85" s="3" t="s">
        <v>88</v>
      </c>
    </row>
    <row r="86">
      <c r="C86" s="3" t="s">
        <v>88</v>
      </c>
    </row>
    <row r="87">
      <c r="C87" s="3" t="s">
        <v>88</v>
      </c>
    </row>
    <row r="88">
      <c r="C88" s="3" t="s">
        <v>88</v>
      </c>
    </row>
    <row r="89">
      <c r="C89" s="3" t="s">
        <v>88</v>
      </c>
    </row>
    <row r="90">
      <c r="C90" s="3" t="s">
        <v>88</v>
      </c>
    </row>
    <row r="91">
      <c r="C91" s="3" t="s">
        <v>88</v>
      </c>
    </row>
    <row r="92">
      <c r="C92" s="3" t="s">
        <v>88</v>
      </c>
    </row>
    <row r="93">
      <c r="C93" s="3" t="s">
        <v>88</v>
      </c>
    </row>
    <row r="94">
      <c r="C94" s="3" t="s">
        <v>88</v>
      </c>
    </row>
    <row r="95">
      <c r="C95" s="3" t="s">
        <v>88</v>
      </c>
    </row>
    <row r="96">
      <c r="C96" s="3" t="s">
        <v>88</v>
      </c>
    </row>
    <row r="97">
      <c r="C97" s="3" t="s">
        <v>88</v>
      </c>
    </row>
    <row r="98">
      <c r="C98" s="3" t="s">
        <v>88</v>
      </c>
    </row>
    <row r="99">
      <c r="C99" s="3" t="s">
        <v>88</v>
      </c>
    </row>
    <row r="100">
      <c r="C100" s="3" t="s">
        <v>88</v>
      </c>
    </row>
    <row r="101">
      <c r="C101" s="3" t="s">
        <v>88</v>
      </c>
    </row>
    <row r="102">
      <c r="C102" s="3" t="s">
        <v>88</v>
      </c>
    </row>
    <row r="103">
      <c r="C103" s="3" t="s">
        <v>88</v>
      </c>
    </row>
    <row r="104">
      <c r="C104" s="3" t="s">
        <v>88</v>
      </c>
    </row>
    <row r="105">
      <c r="C105" s="3" t="s">
        <v>88</v>
      </c>
    </row>
    <row r="106">
      <c r="C106" s="3" t="s">
        <v>88</v>
      </c>
    </row>
    <row r="107">
      <c r="C107" s="3" t="s">
        <v>88</v>
      </c>
    </row>
    <row r="108">
      <c r="C108" s="3" t="s">
        <v>88</v>
      </c>
    </row>
    <row r="109">
      <c r="C109" s="3" t="s">
        <v>88</v>
      </c>
    </row>
    <row r="110">
      <c r="C110" s="3" t="s">
        <v>88</v>
      </c>
    </row>
    <row r="111">
      <c r="C111" s="3" t="s">
        <v>88</v>
      </c>
    </row>
    <row r="112">
      <c r="C112" s="3" t="s">
        <v>88</v>
      </c>
    </row>
    <row r="113">
      <c r="C113" s="3" t="s">
        <v>88</v>
      </c>
    </row>
    <row r="114">
      <c r="C114" s="3" t="s">
        <v>88</v>
      </c>
    </row>
    <row r="115">
      <c r="C115" s="3" t="s">
        <v>88</v>
      </c>
    </row>
    <row r="116">
      <c r="C116" s="3" t="s">
        <v>88</v>
      </c>
    </row>
    <row r="117">
      <c r="C117" s="3" t="s">
        <v>88</v>
      </c>
    </row>
    <row r="118">
      <c r="C118" s="3" t="s">
        <v>88</v>
      </c>
    </row>
    <row r="119">
      <c r="C119" s="3" t="s">
        <v>88</v>
      </c>
    </row>
    <row r="120">
      <c r="C120" s="3" t="s">
        <v>88</v>
      </c>
    </row>
    <row r="121">
      <c r="C121" s="3" t="s">
        <v>88</v>
      </c>
    </row>
    <row r="122">
      <c r="C122" s="3" t="s">
        <v>88</v>
      </c>
    </row>
    <row r="123">
      <c r="C123" s="3" t="s">
        <v>88</v>
      </c>
    </row>
    <row r="124">
      <c r="C124" s="3" t="s">
        <v>88</v>
      </c>
    </row>
    <row r="125">
      <c r="C125" s="3" t="s">
        <v>88</v>
      </c>
    </row>
    <row r="126">
      <c r="C126" s="3" t="s">
        <v>88</v>
      </c>
    </row>
    <row r="127">
      <c r="C127" s="3" t="s">
        <v>88</v>
      </c>
    </row>
    <row r="128">
      <c r="C128" s="3" t="s">
        <v>88</v>
      </c>
    </row>
    <row r="129">
      <c r="C129" s="3" t="s">
        <v>88</v>
      </c>
    </row>
    <row r="130">
      <c r="C130" s="3" t="s">
        <v>88</v>
      </c>
    </row>
    <row r="131">
      <c r="C131" s="3" t="s">
        <v>88</v>
      </c>
    </row>
    <row r="132">
      <c r="C132" s="3" t="s">
        <v>88</v>
      </c>
    </row>
    <row r="133">
      <c r="C133" s="3" t="s">
        <v>88</v>
      </c>
    </row>
    <row r="134">
      <c r="C134" s="3" t="s">
        <v>88</v>
      </c>
    </row>
    <row r="135">
      <c r="C135" s="3" t="s">
        <v>88</v>
      </c>
    </row>
    <row r="136">
      <c r="C136" s="3" t="s">
        <v>88</v>
      </c>
    </row>
    <row r="137">
      <c r="C137" s="3" t="s">
        <v>88</v>
      </c>
    </row>
    <row r="138">
      <c r="C138" s="3" t="s">
        <v>88</v>
      </c>
    </row>
    <row r="139">
      <c r="C139" s="3" t="s">
        <v>88</v>
      </c>
    </row>
    <row r="140">
      <c r="C140" s="3" t="s">
        <v>88</v>
      </c>
    </row>
    <row r="141">
      <c r="C141" s="3" t="s">
        <v>88</v>
      </c>
    </row>
    <row r="142">
      <c r="C142" s="3" t="s">
        <v>88</v>
      </c>
    </row>
    <row r="143">
      <c r="C143" s="3" t="s">
        <v>88</v>
      </c>
    </row>
    <row r="144">
      <c r="C144" s="3" t="s">
        <v>88</v>
      </c>
    </row>
    <row r="145">
      <c r="C145" s="3" t="s">
        <v>88</v>
      </c>
    </row>
    <row r="146">
      <c r="C146" s="3" t="s">
        <v>88</v>
      </c>
    </row>
    <row r="147">
      <c r="C147" s="3" t="s">
        <v>88</v>
      </c>
    </row>
    <row r="148">
      <c r="C148" s="3" t="s">
        <v>88</v>
      </c>
    </row>
    <row r="149">
      <c r="C149" s="3" t="s">
        <v>88</v>
      </c>
    </row>
    <row r="150">
      <c r="C150" s="3" t="s">
        <v>88</v>
      </c>
    </row>
    <row r="151">
      <c r="C151" s="3" t="s">
        <v>88</v>
      </c>
    </row>
    <row r="152">
      <c r="C152" s="3" t="s">
        <v>88</v>
      </c>
    </row>
    <row r="153">
      <c r="C153" s="3" t="s">
        <v>88</v>
      </c>
    </row>
    <row r="154">
      <c r="C154" s="3" t="s">
        <v>88</v>
      </c>
    </row>
    <row r="155">
      <c r="C155" s="3" t="s">
        <v>88</v>
      </c>
    </row>
    <row r="156">
      <c r="C156" s="3" t="s">
        <v>88</v>
      </c>
    </row>
    <row r="157">
      <c r="C157" s="3" t="s">
        <v>88</v>
      </c>
    </row>
    <row r="158">
      <c r="C158" s="3" t="s">
        <v>88</v>
      </c>
    </row>
    <row r="159">
      <c r="C159" s="3" t="s">
        <v>88</v>
      </c>
    </row>
    <row r="160">
      <c r="C160" s="3" t="s">
        <v>88</v>
      </c>
    </row>
    <row r="161">
      <c r="C161" s="3" t="s">
        <v>88</v>
      </c>
    </row>
    <row r="162">
      <c r="C162" s="3" t="s">
        <v>88</v>
      </c>
    </row>
    <row r="163">
      <c r="C163" s="3" t="s">
        <v>88</v>
      </c>
    </row>
    <row r="164">
      <c r="C164" s="3" t="s">
        <v>88</v>
      </c>
    </row>
    <row r="165">
      <c r="C165" s="3" t="s">
        <v>88</v>
      </c>
    </row>
    <row r="166">
      <c r="C166" s="3" t="s">
        <v>88</v>
      </c>
    </row>
    <row r="167">
      <c r="C167" s="3" t="s">
        <v>88</v>
      </c>
    </row>
    <row r="168">
      <c r="C168" s="3" t="s">
        <v>88</v>
      </c>
    </row>
    <row r="169">
      <c r="C169" s="3" t="s">
        <v>88</v>
      </c>
    </row>
    <row r="170">
      <c r="C170" s="3" t="s">
        <v>88</v>
      </c>
    </row>
    <row r="171">
      <c r="C171" s="3" t="s">
        <v>88</v>
      </c>
    </row>
    <row r="172">
      <c r="C172" s="3" t="s">
        <v>88</v>
      </c>
    </row>
    <row r="173">
      <c r="C173" s="3" t="s">
        <v>88</v>
      </c>
    </row>
    <row r="174">
      <c r="C174" s="3" t="s">
        <v>88</v>
      </c>
    </row>
    <row r="175">
      <c r="C175" s="3" t="s">
        <v>88</v>
      </c>
    </row>
    <row r="176">
      <c r="C176" s="3" t="s">
        <v>88</v>
      </c>
    </row>
    <row r="177">
      <c r="C177" s="3" t="s">
        <v>88</v>
      </c>
    </row>
    <row r="178">
      <c r="C178" s="3" t="s">
        <v>88</v>
      </c>
    </row>
    <row r="179">
      <c r="C179" s="3" t="s">
        <v>88</v>
      </c>
    </row>
    <row r="180">
      <c r="C180" s="3" t="s">
        <v>88</v>
      </c>
    </row>
    <row r="181">
      <c r="C181" s="3" t="s">
        <v>88</v>
      </c>
    </row>
    <row r="182">
      <c r="C182" s="3" t="s">
        <v>88</v>
      </c>
    </row>
    <row r="183">
      <c r="C183" s="3" t="s">
        <v>88</v>
      </c>
    </row>
    <row r="184">
      <c r="C184" s="3" t="s">
        <v>88</v>
      </c>
    </row>
    <row r="185">
      <c r="C185" s="3" t="s">
        <v>88</v>
      </c>
    </row>
    <row r="186">
      <c r="C186" s="3" t="s">
        <v>88</v>
      </c>
    </row>
    <row r="187">
      <c r="C187" s="3" t="s">
        <v>88</v>
      </c>
    </row>
    <row r="188">
      <c r="C188" s="3" t="s">
        <v>88</v>
      </c>
    </row>
    <row r="189">
      <c r="C189" s="3" t="s">
        <v>88</v>
      </c>
    </row>
    <row r="190">
      <c r="C190" s="3" t="s">
        <v>88</v>
      </c>
    </row>
    <row r="191">
      <c r="C191" s="3" t="s">
        <v>88</v>
      </c>
    </row>
    <row r="192">
      <c r="C192" s="3" t="s">
        <v>88</v>
      </c>
    </row>
    <row r="193">
      <c r="C193" s="3" t="s">
        <v>88</v>
      </c>
    </row>
    <row r="194">
      <c r="C194" s="3" t="s">
        <v>88</v>
      </c>
    </row>
    <row r="195">
      <c r="C195" s="3" t="s">
        <v>88</v>
      </c>
    </row>
    <row r="196">
      <c r="C196" s="3" t="s">
        <v>88</v>
      </c>
    </row>
    <row r="197">
      <c r="C197" s="3" t="s">
        <v>88</v>
      </c>
    </row>
    <row r="198">
      <c r="C198" s="3" t="s">
        <v>88</v>
      </c>
    </row>
    <row r="199">
      <c r="C199" s="3" t="s">
        <v>88</v>
      </c>
    </row>
    <row r="200">
      <c r="C200" s="3" t="s">
        <v>88</v>
      </c>
    </row>
    <row r="201">
      <c r="C201" s="3" t="s">
        <v>88</v>
      </c>
    </row>
    <row r="202">
      <c r="C202" s="3" t="s">
        <v>88</v>
      </c>
    </row>
    <row r="203">
      <c r="C203" s="3" t="s">
        <v>88</v>
      </c>
    </row>
    <row r="204">
      <c r="C204" s="3" t="s">
        <v>88</v>
      </c>
    </row>
    <row r="205">
      <c r="C205" s="3" t="s">
        <v>88</v>
      </c>
    </row>
    <row r="206">
      <c r="C206" s="3" t="s">
        <v>88</v>
      </c>
    </row>
    <row r="207">
      <c r="C207" s="3" t="s">
        <v>88</v>
      </c>
    </row>
    <row r="208">
      <c r="C208" s="3" t="s">
        <v>88</v>
      </c>
    </row>
    <row r="209">
      <c r="C209" s="3" t="s">
        <v>88</v>
      </c>
    </row>
    <row r="210">
      <c r="C210" s="3" t="s">
        <v>88</v>
      </c>
    </row>
    <row r="211">
      <c r="C211" s="3" t="s">
        <v>88</v>
      </c>
    </row>
    <row r="212">
      <c r="C212" s="3" t="s">
        <v>88</v>
      </c>
    </row>
    <row r="213">
      <c r="C213" s="3" t="s">
        <v>88</v>
      </c>
    </row>
    <row r="214">
      <c r="C214" s="3" t="s">
        <v>88</v>
      </c>
    </row>
    <row r="215">
      <c r="C215" s="3" t="s">
        <v>88</v>
      </c>
    </row>
    <row r="216">
      <c r="C216" s="3" t="s">
        <v>88</v>
      </c>
    </row>
    <row r="217">
      <c r="C217" s="3" t="s">
        <v>88</v>
      </c>
    </row>
    <row r="218">
      <c r="C218" s="3" t="s">
        <v>88</v>
      </c>
    </row>
    <row r="219">
      <c r="C219" s="3" t="s">
        <v>88</v>
      </c>
    </row>
    <row r="220">
      <c r="C220" s="3" t="s">
        <v>88</v>
      </c>
    </row>
    <row r="221">
      <c r="C221" s="3" t="s">
        <v>88</v>
      </c>
    </row>
    <row r="222">
      <c r="C222" s="3" t="s">
        <v>88</v>
      </c>
    </row>
    <row r="223">
      <c r="C223" s="3" t="s">
        <v>88</v>
      </c>
    </row>
    <row r="224">
      <c r="C224" s="3" t="s">
        <v>88</v>
      </c>
    </row>
    <row r="225">
      <c r="C225" s="3" t="s">
        <v>88</v>
      </c>
    </row>
    <row r="226">
      <c r="C226" s="3" t="s">
        <v>88</v>
      </c>
    </row>
    <row r="227">
      <c r="C227" s="3" t="s">
        <v>88</v>
      </c>
    </row>
    <row r="228">
      <c r="C228" s="3" t="s">
        <v>88</v>
      </c>
    </row>
    <row r="229">
      <c r="C229" s="3" t="s">
        <v>88</v>
      </c>
    </row>
    <row r="230">
      <c r="C230" s="3" t="s">
        <v>88</v>
      </c>
    </row>
    <row r="231">
      <c r="C231" s="3" t="s">
        <v>88</v>
      </c>
    </row>
    <row r="232">
      <c r="C232" s="3" t="s">
        <v>88</v>
      </c>
    </row>
    <row r="233">
      <c r="C233" s="3" t="s">
        <v>88</v>
      </c>
    </row>
    <row r="234">
      <c r="C234" s="3" t="s">
        <v>88</v>
      </c>
    </row>
    <row r="235">
      <c r="C235" s="3" t="s">
        <v>88</v>
      </c>
    </row>
    <row r="236">
      <c r="C236" s="3" t="s">
        <v>88</v>
      </c>
    </row>
    <row r="237">
      <c r="C237" s="3" t="s">
        <v>88</v>
      </c>
    </row>
    <row r="238">
      <c r="C238" s="3" t="s">
        <v>88</v>
      </c>
    </row>
    <row r="239">
      <c r="C239" s="3" t="s">
        <v>88</v>
      </c>
    </row>
    <row r="240">
      <c r="C240" s="3" t="s">
        <v>88</v>
      </c>
    </row>
    <row r="241">
      <c r="C241" s="3" t="s">
        <v>88</v>
      </c>
    </row>
    <row r="242">
      <c r="C242" s="3" t="s">
        <v>88</v>
      </c>
    </row>
    <row r="243">
      <c r="C243" s="3" t="s">
        <v>88</v>
      </c>
    </row>
    <row r="244">
      <c r="C244" s="3" t="s">
        <v>88</v>
      </c>
    </row>
    <row r="245">
      <c r="C245" s="3" t="s">
        <v>88</v>
      </c>
    </row>
    <row r="246">
      <c r="C246" s="3" t="s">
        <v>88</v>
      </c>
    </row>
    <row r="247">
      <c r="C247" s="3" t="s">
        <v>88</v>
      </c>
    </row>
    <row r="248">
      <c r="C248" s="3" t="s">
        <v>88</v>
      </c>
    </row>
    <row r="249">
      <c r="C249" s="3" t="s">
        <v>88</v>
      </c>
    </row>
    <row r="250">
      <c r="C250" s="3" t="s">
        <v>88</v>
      </c>
    </row>
    <row r="251">
      <c r="C251" s="3" t="s">
        <v>88</v>
      </c>
    </row>
    <row r="252">
      <c r="C252" s="3" t="s">
        <v>88</v>
      </c>
    </row>
    <row r="253">
      <c r="C253" s="3" t="s">
        <v>88</v>
      </c>
    </row>
    <row r="254">
      <c r="C254" s="3" t="s">
        <v>88</v>
      </c>
    </row>
    <row r="255">
      <c r="C255" s="3" t="s">
        <v>88</v>
      </c>
    </row>
    <row r="256">
      <c r="C256" s="3" t="s">
        <v>88</v>
      </c>
    </row>
    <row r="257">
      <c r="C257" s="3" t="s">
        <v>88</v>
      </c>
    </row>
    <row r="258">
      <c r="C258" s="3" t="s">
        <v>88</v>
      </c>
    </row>
    <row r="259">
      <c r="C259" s="3" t="s">
        <v>88</v>
      </c>
    </row>
    <row r="260">
      <c r="C260" s="3" t="s">
        <v>88</v>
      </c>
    </row>
    <row r="261">
      <c r="C261" s="3" t="s">
        <v>88</v>
      </c>
    </row>
    <row r="262">
      <c r="C262" s="3" t="s">
        <v>88</v>
      </c>
    </row>
    <row r="263">
      <c r="C263" s="3" t="s">
        <v>88</v>
      </c>
    </row>
    <row r="264">
      <c r="C264" s="3" t="s">
        <v>88</v>
      </c>
    </row>
    <row r="265">
      <c r="C265" s="3" t="s">
        <v>88</v>
      </c>
    </row>
    <row r="266">
      <c r="C266" s="3" t="s">
        <v>88</v>
      </c>
    </row>
    <row r="267">
      <c r="C267" s="3" t="s">
        <v>88</v>
      </c>
    </row>
    <row r="268">
      <c r="C268" s="3" t="s">
        <v>88</v>
      </c>
    </row>
    <row r="269">
      <c r="C269" s="3" t="s">
        <v>88</v>
      </c>
    </row>
    <row r="270">
      <c r="C270" s="3" t="s">
        <v>88</v>
      </c>
    </row>
    <row r="271">
      <c r="C271" s="3" t="s">
        <v>88</v>
      </c>
    </row>
    <row r="272">
      <c r="C272" s="3" t="s">
        <v>88</v>
      </c>
    </row>
    <row r="273">
      <c r="C273" s="3" t="s">
        <v>88</v>
      </c>
    </row>
    <row r="274">
      <c r="C274" s="3" t="s">
        <v>88</v>
      </c>
    </row>
    <row r="275">
      <c r="C275" s="3" t="s">
        <v>88</v>
      </c>
    </row>
    <row r="276">
      <c r="C276" s="3" t="s">
        <v>88</v>
      </c>
    </row>
    <row r="277">
      <c r="C277" s="3" t="s">
        <v>88</v>
      </c>
    </row>
    <row r="278">
      <c r="C278" s="3" t="s">
        <v>88</v>
      </c>
    </row>
    <row r="279">
      <c r="C279" s="3" t="s">
        <v>88</v>
      </c>
    </row>
    <row r="280">
      <c r="C280" s="3" t="s">
        <v>88</v>
      </c>
    </row>
    <row r="281">
      <c r="C281" s="3" t="s">
        <v>88</v>
      </c>
    </row>
    <row r="282">
      <c r="C282" s="3" t="s">
        <v>88</v>
      </c>
    </row>
    <row r="283">
      <c r="C283" s="3" t="s">
        <v>88</v>
      </c>
    </row>
    <row r="284">
      <c r="C284" s="3" t="s">
        <v>88</v>
      </c>
    </row>
    <row r="285">
      <c r="C285" s="3" t="s">
        <v>88</v>
      </c>
    </row>
    <row r="286">
      <c r="C286" s="3" t="s">
        <v>88</v>
      </c>
    </row>
    <row r="287">
      <c r="C287" s="3" t="s">
        <v>88</v>
      </c>
    </row>
    <row r="288">
      <c r="C288" s="3" t="s">
        <v>88</v>
      </c>
    </row>
    <row r="289">
      <c r="C289" s="3" t="s">
        <v>88</v>
      </c>
    </row>
    <row r="290">
      <c r="C290" s="3" t="s">
        <v>88</v>
      </c>
    </row>
    <row r="291">
      <c r="C291" s="3" t="s">
        <v>88</v>
      </c>
    </row>
    <row r="292">
      <c r="C292" s="3" t="s">
        <v>88</v>
      </c>
    </row>
    <row r="293">
      <c r="C293" s="3" t="s">
        <v>88</v>
      </c>
    </row>
    <row r="294">
      <c r="C294" s="3" t="s">
        <v>88</v>
      </c>
    </row>
    <row r="295">
      <c r="C295" s="3" t="s">
        <v>88</v>
      </c>
    </row>
    <row r="296">
      <c r="C296" s="3" t="s">
        <v>88</v>
      </c>
    </row>
    <row r="297">
      <c r="C297" s="3" t="s">
        <v>88</v>
      </c>
    </row>
    <row r="298">
      <c r="C298" s="3" t="s">
        <v>88</v>
      </c>
    </row>
    <row r="299">
      <c r="C299" s="3" t="s">
        <v>88</v>
      </c>
    </row>
    <row r="300">
      <c r="C300" s="3" t="s">
        <v>88</v>
      </c>
    </row>
    <row r="301">
      <c r="C301" s="3" t="s">
        <v>88</v>
      </c>
    </row>
    <row r="302">
      <c r="C302" s="3" t="s">
        <v>88</v>
      </c>
    </row>
    <row r="303">
      <c r="C303" s="3" t="s">
        <v>88</v>
      </c>
    </row>
    <row r="304">
      <c r="C304" s="3" t="s">
        <v>88</v>
      </c>
    </row>
    <row r="305">
      <c r="C305" s="3" t="s">
        <v>88</v>
      </c>
    </row>
    <row r="306">
      <c r="C306" s="3" t="s">
        <v>88</v>
      </c>
    </row>
    <row r="307">
      <c r="C307" s="3" t="s">
        <v>88</v>
      </c>
    </row>
    <row r="308">
      <c r="C308" s="3" t="s">
        <v>88</v>
      </c>
    </row>
    <row r="309">
      <c r="C309" s="3" t="s">
        <v>88</v>
      </c>
    </row>
    <row r="310">
      <c r="C310" s="3" t="s">
        <v>88</v>
      </c>
    </row>
    <row r="311">
      <c r="C311" s="3" t="s">
        <v>88</v>
      </c>
    </row>
    <row r="312">
      <c r="C312" s="3" t="s">
        <v>88</v>
      </c>
    </row>
    <row r="313">
      <c r="C313" s="3" t="s">
        <v>88</v>
      </c>
    </row>
    <row r="314">
      <c r="C314" s="3" t="s">
        <v>88</v>
      </c>
    </row>
    <row r="315">
      <c r="C315" s="3" t="s">
        <v>88</v>
      </c>
    </row>
    <row r="316">
      <c r="C316" s="3" t="s">
        <v>88</v>
      </c>
    </row>
    <row r="317">
      <c r="C317" s="3" t="s">
        <v>88</v>
      </c>
    </row>
    <row r="318">
      <c r="C318" s="3" t="s">
        <v>88</v>
      </c>
    </row>
    <row r="319">
      <c r="C319" s="3" t="s">
        <v>88</v>
      </c>
    </row>
    <row r="320">
      <c r="C320" s="3" t="s">
        <v>88</v>
      </c>
    </row>
    <row r="321">
      <c r="C321" s="3" t="s">
        <v>88</v>
      </c>
    </row>
    <row r="322">
      <c r="C322" s="3" t="s">
        <v>88</v>
      </c>
    </row>
    <row r="323">
      <c r="C323" s="3" t="s">
        <v>88</v>
      </c>
    </row>
    <row r="324">
      <c r="C324" s="3" t="s">
        <v>88</v>
      </c>
    </row>
    <row r="325">
      <c r="C325" s="3" t="s">
        <v>88</v>
      </c>
    </row>
    <row r="326">
      <c r="C326" s="3" t="s">
        <v>88</v>
      </c>
    </row>
    <row r="327">
      <c r="C327" s="3" t="s">
        <v>88</v>
      </c>
    </row>
    <row r="328">
      <c r="C328" s="3" t="s">
        <v>88</v>
      </c>
    </row>
    <row r="329">
      <c r="C329" s="3" t="s">
        <v>88</v>
      </c>
    </row>
    <row r="330">
      <c r="C330" s="3" t="s">
        <v>88</v>
      </c>
    </row>
    <row r="331">
      <c r="C331" s="3" t="s">
        <v>88</v>
      </c>
    </row>
    <row r="332">
      <c r="C332" s="3" t="s">
        <v>88</v>
      </c>
    </row>
    <row r="333">
      <c r="C333" s="3" t="s">
        <v>88</v>
      </c>
    </row>
    <row r="334">
      <c r="C334" s="3" t="s">
        <v>88</v>
      </c>
    </row>
    <row r="335">
      <c r="C335" s="3" t="s">
        <v>88</v>
      </c>
    </row>
    <row r="336">
      <c r="C336" s="3" t="s">
        <v>88</v>
      </c>
    </row>
    <row r="337">
      <c r="C337" s="3" t="s">
        <v>88</v>
      </c>
    </row>
    <row r="338">
      <c r="C338" s="3" t="s">
        <v>88</v>
      </c>
    </row>
    <row r="339">
      <c r="C339" s="3" t="s">
        <v>88</v>
      </c>
    </row>
    <row r="340">
      <c r="C340" s="3" t="s">
        <v>88</v>
      </c>
    </row>
    <row r="341">
      <c r="C341" s="3" t="s">
        <v>88</v>
      </c>
    </row>
    <row r="342">
      <c r="C342" s="3" t="s">
        <v>88</v>
      </c>
    </row>
    <row r="343">
      <c r="C343" s="3" t="s">
        <v>88</v>
      </c>
    </row>
    <row r="344">
      <c r="C344" s="3" t="s">
        <v>88</v>
      </c>
    </row>
    <row r="345">
      <c r="C345" s="3" t="s">
        <v>88</v>
      </c>
    </row>
    <row r="346">
      <c r="C346" s="3" t="s">
        <v>88</v>
      </c>
    </row>
    <row r="347">
      <c r="C347" s="3" t="s">
        <v>88</v>
      </c>
    </row>
    <row r="348">
      <c r="C348" s="3" t="s">
        <v>88</v>
      </c>
    </row>
    <row r="349">
      <c r="C349" s="3" t="s">
        <v>88</v>
      </c>
    </row>
    <row r="350">
      <c r="C350" s="3" t="s">
        <v>88</v>
      </c>
    </row>
    <row r="351">
      <c r="C351" s="3" t="s">
        <v>88</v>
      </c>
    </row>
    <row r="352">
      <c r="C352" s="3" t="s">
        <v>88</v>
      </c>
    </row>
    <row r="353">
      <c r="C353" s="3" t="s">
        <v>88</v>
      </c>
    </row>
    <row r="354">
      <c r="C354" s="3" t="s">
        <v>88</v>
      </c>
    </row>
    <row r="355">
      <c r="C355" s="3" t="s">
        <v>88</v>
      </c>
    </row>
    <row r="356">
      <c r="C356" s="3" t="s">
        <v>88</v>
      </c>
    </row>
    <row r="357">
      <c r="C357" s="3" t="s">
        <v>88</v>
      </c>
    </row>
    <row r="358">
      <c r="C358" s="3" t="s">
        <v>88</v>
      </c>
    </row>
    <row r="359">
      <c r="C359" s="3" t="s">
        <v>88</v>
      </c>
    </row>
    <row r="360">
      <c r="C360" s="3" t="s">
        <v>88</v>
      </c>
    </row>
    <row r="361">
      <c r="C361" s="3" t="s">
        <v>88</v>
      </c>
    </row>
    <row r="362">
      <c r="C362" s="3" t="s">
        <v>88</v>
      </c>
    </row>
    <row r="363">
      <c r="C363" s="3" t="s">
        <v>88</v>
      </c>
    </row>
    <row r="364">
      <c r="C364" s="3" t="s">
        <v>88</v>
      </c>
    </row>
    <row r="365">
      <c r="C365" s="3" t="s">
        <v>88</v>
      </c>
    </row>
    <row r="366">
      <c r="C366" s="3" t="s">
        <v>88</v>
      </c>
    </row>
    <row r="367">
      <c r="C367" s="3" t="s">
        <v>88</v>
      </c>
    </row>
    <row r="368">
      <c r="C368" s="3" t="s">
        <v>88</v>
      </c>
    </row>
    <row r="369">
      <c r="C369" s="3" t="s">
        <v>88</v>
      </c>
    </row>
    <row r="370">
      <c r="C370" s="3" t="s">
        <v>88</v>
      </c>
    </row>
    <row r="371">
      <c r="C371" s="3" t="s">
        <v>88</v>
      </c>
    </row>
    <row r="372">
      <c r="C372" s="3" t="s">
        <v>88</v>
      </c>
    </row>
    <row r="373">
      <c r="C373" s="3" t="s">
        <v>88</v>
      </c>
    </row>
    <row r="374">
      <c r="C374" s="3" t="s">
        <v>88</v>
      </c>
    </row>
    <row r="375">
      <c r="C375" s="3" t="s">
        <v>88</v>
      </c>
    </row>
    <row r="376">
      <c r="C376" s="3" t="s">
        <v>88</v>
      </c>
    </row>
    <row r="377">
      <c r="C377" s="3" t="s">
        <v>88</v>
      </c>
    </row>
    <row r="378">
      <c r="C378" s="3" t="s">
        <v>88</v>
      </c>
    </row>
    <row r="379">
      <c r="C379" s="3" t="s">
        <v>88</v>
      </c>
    </row>
    <row r="380">
      <c r="C380" s="3" t="s">
        <v>88</v>
      </c>
    </row>
    <row r="381">
      <c r="C381" s="3" t="s">
        <v>88</v>
      </c>
    </row>
    <row r="382">
      <c r="C382" s="3" t="s">
        <v>88</v>
      </c>
    </row>
    <row r="383">
      <c r="C383" s="3" t="s">
        <v>88</v>
      </c>
    </row>
    <row r="384">
      <c r="C384" s="3" t="s">
        <v>88</v>
      </c>
    </row>
    <row r="385">
      <c r="C385" s="3" t="s">
        <v>88</v>
      </c>
    </row>
    <row r="386">
      <c r="C386" s="3" t="s">
        <v>88</v>
      </c>
    </row>
    <row r="387">
      <c r="C387" s="3" t="s">
        <v>88</v>
      </c>
    </row>
    <row r="388">
      <c r="C388" s="3" t="s">
        <v>88</v>
      </c>
    </row>
    <row r="389">
      <c r="C389" s="3" t="s">
        <v>88</v>
      </c>
    </row>
    <row r="390">
      <c r="C390" s="3" t="s">
        <v>88</v>
      </c>
    </row>
    <row r="391">
      <c r="C391" s="3" t="s">
        <v>88</v>
      </c>
    </row>
    <row r="392">
      <c r="C392" s="3" t="s">
        <v>88</v>
      </c>
    </row>
    <row r="393">
      <c r="C393" s="3" t="s">
        <v>88</v>
      </c>
    </row>
    <row r="394">
      <c r="C394" s="3" t="s">
        <v>88</v>
      </c>
    </row>
    <row r="395">
      <c r="C395" s="3" t="s">
        <v>88</v>
      </c>
    </row>
    <row r="396">
      <c r="C396" s="3" t="s">
        <v>88</v>
      </c>
    </row>
    <row r="397">
      <c r="C397" s="3" t="s">
        <v>88</v>
      </c>
    </row>
    <row r="398">
      <c r="C398" s="3" t="s">
        <v>88</v>
      </c>
    </row>
    <row r="399">
      <c r="C399" s="3" t="s">
        <v>88</v>
      </c>
    </row>
    <row r="400">
      <c r="C400" s="3" t="s">
        <v>88</v>
      </c>
    </row>
    <row r="401">
      <c r="C401" s="3" t="s">
        <v>88</v>
      </c>
    </row>
    <row r="402">
      <c r="C402" s="3" t="s">
        <v>88</v>
      </c>
    </row>
    <row r="403">
      <c r="C403" s="3" t="s">
        <v>88</v>
      </c>
    </row>
    <row r="404">
      <c r="C404" s="3" t="s">
        <v>88</v>
      </c>
    </row>
    <row r="405">
      <c r="C405" s="3" t="s">
        <v>88</v>
      </c>
    </row>
    <row r="406">
      <c r="C406" s="3" t="s">
        <v>88</v>
      </c>
    </row>
    <row r="407">
      <c r="C407" s="3" t="s">
        <v>88</v>
      </c>
    </row>
    <row r="408">
      <c r="C408" s="3" t="s">
        <v>88</v>
      </c>
    </row>
    <row r="409">
      <c r="C409" s="3" t="s">
        <v>88</v>
      </c>
    </row>
    <row r="410">
      <c r="C410" s="3" t="s">
        <v>88</v>
      </c>
    </row>
    <row r="411">
      <c r="C411" s="3" t="s">
        <v>88</v>
      </c>
    </row>
    <row r="412">
      <c r="C412" s="3" t="s">
        <v>88</v>
      </c>
    </row>
    <row r="413">
      <c r="C413" s="3" t="s">
        <v>88</v>
      </c>
    </row>
    <row r="414">
      <c r="C414" s="3" t="s">
        <v>88</v>
      </c>
    </row>
    <row r="415">
      <c r="C415" s="3" t="s">
        <v>88</v>
      </c>
    </row>
    <row r="416">
      <c r="C416" s="3" t="s">
        <v>88</v>
      </c>
    </row>
    <row r="417">
      <c r="C417" s="3" t="s">
        <v>88</v>
      </c>
    </row>
    <row r="418">
      <c r="C418" s="3" t="s">
        <v>88</v>
      </c>
    </row>
    <row r="419">
      <c r="C419" s="3" t="s">
        <v>88</v>
      </c>
    </row>
    <row r="420">
      <c r="C420" s="3" t="s">
        <v>88</v>
      </c>
    </row>
    <row r="421">
      <c r="C421" s="3" t="s">
        <v>88</v>
      </c>
    </row>
    <row r="422">
      <c r="C422" s="3" t="s">
        <v>88</v>
      </c>
    </row>
    <row r="423">
      <c r="C423" s="3" t="s">
        <v>88</v>
      </c>
    </row>
    <row r="424">
      <c r="C424" s="3" t="s">
        <v>88</v>
      </c>
    </row>
    <row r="425">
      <c r="C425" s="3" t="s">
        <v>88</v>
      </c>
    </row>
    <row r="426">
      <c r="C426" s="3" t="s">
        <v>88</v>
      </c>
    </row>
    <row r="427">
      <c r="C427" s="3" t="s">
        <v>88</v>
      </c>
    </row>
    <row r="428">
      <c r="C428" s="3" t="s">
        <v>88</v>
      </c>
    </row>
    <row r="429">
      <c r="C429" s="3" t="s">
        <v>88</v>
      </c>
    </row>
    <row r="430">
      <c r="C430" s="3" t="s">
        <v>88</v>
      </c>
    </row>
    <row r="431">
      <c r="C431" s="3" t="s">
        <v>88</v>
      </c>
    </row>
    <row r="432">
      <c r="C432" s="3" t="s">
        <v>88</v>
      </c>
    </row>
    <row r="433">
      <c r="C433" s="3" t="s">
        <v>88</v>
      </c>
    </row>
    <row r="434">
      <c r="C434" s="3" t="s">
        <v>88</v>
      </c>
    </row>
    <row r="435">
      <c r="C435" s="3" t="s">
        <v>88</v>
      </c>
    </row>
    <row r="436">
      <c r="C436" s="3" t="s">
        <v>88</v>
      </c>
    </row>
    <row r="437">
      <c r="C437" s="3" t="s">
        <v>88</v>
      </c>
    </row>
    <row r="438">
      <c r="C438" s="3" t="s">
        <v>88</v>
      </c>
    </row>
    <row r="439">
      <c r="C439" s="3" t="s">
        <v>88</v>
      </c>
    </row>
    <row r="440">
      <c r="C440" s="3" t="s">
        <v>88</v>
      </c>
    </row>
    <row r="441">
      <c r="C441" s="3" t="s">
        <v>88</v>
      </c>
    </row>
    <row r="442">
      <c r="C442" s="3" t="s">
        <v>88</v>
      </c>
    </row>
    <row r="443">
      <c r="C443" s="3" t="s">
        <v>88</v>
      </c>
    </row>
    <row r="444">
      <c r="C444" s="3" t="s">
        <v>88</v>
      </c>
    </row>
    <row r="445">
      <c r="C445" s="3" t="s">
        <v>88</v>
      </c>
    </row>
    <row r="446">
      <c r="C446" s="3" t="s">
        <v>88</v>
      </c>
    </row>
    <row r="447">
      <c r="C447" s="3" t="s">
        <v>88</v>
      </c>
    </row>
    <row r="448">
      <c r="C448" s="3" t="s">
        <v>88</v>
      </c>
    </row>
    <row r="449">
      <c r="C449" s="3" t="s">
        <v>88</v>
      </c>
    </row>
    <row r="450">
      <c r="C450" s="3" t="s">
        <v>88</v>
      </c>
    </row>
    <row r="451">
      <c r="C451" s="3" t="s">
        <v>88</v>
      </c>
    </row>
    <row r="452">
      <c r="C452" s="3" t="s">
        <v>88</v>
      </c>
    </row>
    <row r="453">
      <c r="C453" s="3" t="s">
        <v>88</v>
      </c>
    </row>
    <row r="454">
      <c r="C454" s="3" t="s">
        <v>88</v>
      </c>
    </row>
    <row r="455">
      <c r="C455" s="3" t="s">
        <v>88</v>
      </c>
    </row>
    <row r="456">
      <c r="C456" s="3" t="s">
        <v>88</v>
      </c>
    </row>
    <row r="457">
      <c r="C457" s="3" t="s">
        <v>88</v>
      </c>
    </row>
    <row r="458">
      <c r="C458" s="3" t="s">
        <v>88</v>
      </c>
    </row>
    <row r="459">
      <c r="C459" s="3" t="s">
        <v>88</v>
      </c>
    </row>
    <row r="460">
      <c r="C460" s="3" t="s">
        <v>88</v>
      </c>
    </row>
    <row r="461">
      <c r="C461" s="3" t="s">
        <v>88</v>
      </c>
    </row>
    <row r="462">
      <c r="C462" s="3" t="s">
        <v>88</v>
      </c>
    </row>
    <row r="463">
      <c r="C463" s="3" t="s">
        <v>88</v>
      </c>
    </row>
    <row r="464">
      <c r="C464" s="3" t="s">
        <v>88</v>
      </c>
    </row>
    <row r="465">
      <c r="C465" s="3" t="s">
        <v>88</v>
      </c>
    </row>
    <row r="466">
      <c r="C466" s="3" t="s">
        <v>88</v>
      </c>
    </row>
    <row r="467">
      <c r="C467" s="3" t="s">
        <v>88</v>
      </c>
    </row>
    <row r="468">
      <c r="C468" s="3" t="s">
        <v>88</v>
      </c>
    </row>
    <row r="469">
      <c r="C469" s="3" t="s">
        <v>88</v>
      </c>
    </row>
    <row r="470">
      <c r="C470" s="3" t="s">
        <v>88</v>
      </c>
    </row>
    <row r="471">
      <c r="C471" s="3" t="s">
        <v>88</v>
      </c>
    </row>
    <row r="472">
      <c r="C472" s="3" t="s">
        <v>88</v>
      </c>
    </row>
    <row r="473">
      <c r="C473" s="3" t="s">
        <v>88</v>
      </c>
    </row>
    <row r="474">
      <c r="C474" s="3" t="s">
        <v>88</v>
      </c>
    </row>
    <row r="475">
      <c r="C475" s="3" t="s">
        <v>88</v>
      </c>
    </row>
    <row r="476">
      <c r="C476" s="3" t="s">
        <v>88</v>
      </c>
    </row>
    <row r="477">
      <c r="C477" s="3" t="s">
        <v>88</v>
      </c>
    </row>
    <row r="478">
      <c r="C478" s="3" t="s">
        <v>88</v>
      </c>
    </row>
    <row r="479">
      <c r="C479" s="3" t="s">
        <v>88</v>
      </c>
    </row>
    <row r="480">
      <c r="C480" s="3" t="s">
        <v>88</v>
      </c>
    </row>
    <row r="481">
      <c r="C481" s="3" t="s">
        <v>88</v>
      </c>
    </row>
    <row r="482">
      <c r="C482" s="3" t="s">
        <v>88</v>
      </c>
    </row>
    <row r="483">
      <c r="C483" s="3" t="s">
        <v>88</v>
      </c>
    </row>
    <row r="484">
      <c r="C484" s="3" t="s">
        <v>88</v>
      </c>
    </row>
    <row r="485">
      <c r="C485" s="3" t="s">
        <v>88</v>
      </c>
    </row>
    <row r="486">
      <c r="C486" s="3" t="s">
        <v>88</v>
      </c>
    </row>
    <row r="487">
      <c r="C487" s="3" t="s">
        <v>88</v>
      </c>
    </row>
    <row r="488">
      <c r="C488" s="3" t="s">
        <v>88</v>
      </c>
    </row>
    <row r="489">
      <c r="C489" s="3" t="s">
        <v>88</v>
      </c>
    </row>
    <row r="490">
      <c r="C490" s="3" t="s">
        <v>88</v>
      </c>
    </row>
    <row r="491">
      <c r="C491" s="3" t="s">
        <v>88</v>
      </c>
    </row>
    <row r="492">
      <c r="C492" s="3" t="s">
        <v>88</v>
      </c>
    </row>
    <row r="493">
      <c r="C493" s="3" t="s">
        <v>88</v>
      </c>
    </row>
    <row r="494">
      <c r="C494" s="3" t="s">
        <v>88</v>
      </c>
    </row>
    <row r="495">
      <c r="C495" s="3" t="s">
        <v>88</v>
      </c>
    </row>
    <row r="496">
      <c r="C496" s="3" t="s">
        <v>88</v>
      </c>
    </row>
    <row r="497">
      <c r="C497" s="3" t="s">
        <v>88</v>
      </c>
    </row>
    <row r="498">
      <c r="C498" s="3" t="s">
        <v>88</v>
      </c>
    </row>
    <row r="499">
      <c r="C499" s="3" t="s">
        <v>88</v>
      </c>
    </row>
    <row r="500">
      <c r="C500" s="3" t="s">
        <v>88</v>
      </c>
    </row>
    <row r="501">
      <c r="C501" s="3" t="s">
        <v>88</v>
      </c>
    </row>
    <row r="502">
      <c r="C502" s="3" t="s">
        <v>88</v>
      </c>
    </row>
    <row r="503">
      <c r="C503" s="3" t="s">
        <v>88</v>
      </c>
    </row>
    <row r="504">
      <c r="C504" s="3" t="s">
        <v>88</v>
      </c>
    </row>
    <row r="505">
      <c r="C505" s="3" t="s">
        <v>88</v>
      </c>
    </row>
    <row r="506">
      <c r="C506" s="3" t="s">
        <v>88</v>
      </c>
    </row>
    <row r="507">
      <c r="C507" s="3" t="s">
        <v>88</v>
      </c>
    </row>
    <row r="508">
      <c r="C508" s="3" t="s">
        <v>88</v>
      </c>
    </row>
    <row r="509">
      <c r="C509" s="3" t="s">
        <v>88</v>
      </c>
    </row>
    <row r="510">
      <c r="C510" s="3" t="s">
        <v>88</v>
      </c>
    </row>
    <row r="511">
      <c r="C511" s="3" t="s">
        <v>88</v>
      </c>
    </row>
    <row r="512">
      <c r="C512" s="3" t="s">
        <v>88</v>
      </c>
    </row>
    <row r="513">
      <c r="C513" s="3" t="s">
        <v>88</v>
      </c>
    </row>
    <row r="514">
      <c r="C514" s="3" t="s">
        <v>88</v>
      </c>
    </row>
    <row r="515">
      <c r="C515" s="3" t="s">
        <v>88</v>
      </c>
    </row>
    <row r="516">
      <c r="C516" s="3" t="s">
        <v>88</v>
      </c>
    </row>
    <row r="517">
      <c r="C517" s="3" t="s">
        <v>88</v>
      </c>
    </row>
    <row r="518">
      <c r="C518" s="3" t="s">
        <v>88</v>
      </c>
    </row>
    <row r="519">
      <c r="C519" s="3" t="s">
        <v>88</v>
      </c>
    </row>
    <row r="520">
      <c r="C520" s="3" t="s">
        <v>88</v>
      </c>
    </row>
    <row r="521">
      <c r="C521" s="3" t="s">
        <v>88</v>
      </c>
    </row>
    <row r="522">
      <c r="C522" s="3" t="s">
        <v>88</v>
      </c>
    </row>
    <row r="523">
      <c r="C523" s="3" t="s">
        <v>88</v>
      </c>
    </row>
    <row r="524">
      <c r="C524" s="3" t="s">
        <v>88</v>
      </c>
    </row>
    <row r="525">
      <c r="C525" s="3" t="s">
        <v>88</v>
      </c>
    </row>
    <row r="526">
      <c r="C526" s="3" t="s">
        <v>88</v>
      </c>
    </row>
    <row r="527">
      <c r="C527" s="3" t="s">
        <v>88</v>
      </c>
    </row>
    <row r="528">
      <c r="C528" s="3" t="s">
        <v>88</v>
      </c>
    </row>
    <row r="529">
      <c r="C529" s="3" t="s">
        <v>88</v>
      </c>
    </row>
    <row r="530">
      <c r="C530" s="3" t="s">
        <v>88</v>
      </c>
    </row>
    <row r="531">
      <c r="C531" s="3" t="s">
        <v>88</v>
      </c>
    </row>
    <row r="532">
      <c r="C532" s="3" t="s">
        <v>88</v>
      </c>
    </row>
    <row r="533">
      <c r="C533" s="3" t="s">
        <v>88</v>
      </c>
    </row>
    <row r="534">
      <c r="C534" s="3" t="s">
        <v>88</v>
      </c>
    </row>
    <row r="535">
      <c r="C535" s="3" t="s">
        <v>88</v>
      </c>
    </row>
    <row r="536">
      <c r="C536" s="3" t="s">
        <v>88</v>
      </c>
    </row>
    <row r="537">
      <c r="C537" s="3" t="s">
        <v>88</v>
      </c>
    </row>
    <row r="538">
      <c r="C538" s="3" t="s">
        <v>88</v>
      </c>
    </row>
    <row r="539">
      <c r="C539" s="3" t="s">
        <v>88</v>
      </c>
    </row>
    <row r="540">
      <c r="C540" s="3" t="s">
        <v>88</v>
      </c>
    </row>
    <row r="541">
      <c r="C541" s="3" t="s">
        <v>88</v>
      </c>
    </row>
    <row r="542">
      <c r="C542" s="3" t="s">
        <v>88</v>
      </c>
    </row>
    <row r="543">
      <c r="C543" s="3" t="s">
        <v>88</v>
      </c>
    </row>
    <row r="544">
      <c r="C544" s="3" t="s">
        <v>88</v>
      </c>
    </row>
    <row r="545">
      <c r="C545" s="3" t="s">
        <v>88</v>
      </c>
    </row>
    <row r="546">
      <c r="C546" s="3" t="s">
        <v>88</v>
      </c>
    </row>
    <row r="547">
      <c r="C547" s="3" t="s">
        <v>88</v>
      </c>
    </row>
    <row r="548">
      <c r="C548" s="3" t="s">
        <v>88</v>
      </c>
    </row>
    <row r="549">
      <c r="C549" s="3" t="s">
        <v>88</v>
      </c>
    </row>
    <row r="550">
      <c r="C550" s="3" t="s">
        <v>88</v>
      </c>
    </row>
    <row r="551">
      <c r="C551" s="3" t="s">
        <v>88</v>
      </c>
    </row>
    <row r="552">
      <c r="C552" s="3" t="s">
        <v>88</v>
      </c>
    </row>
    <row r="553">
      <c r="C553" s="3" t="s">
        <v>88</v>
      </c>
    </row>
    <row r="554">
      <c r="C554" s="3" t="s">
        <v>88</v>
      </c>
    </row>
    <row r="555">
      <c r="C555" s="3" t="s">
        <v>88</v>
      </c>
    </row>
    <row r="556">
      <c r="C556" s="3" t="s">
        <v>88</v>
      </c>
    </row>
    <row r="557">
      <c r="C557" s="3" t="s">
        <v>88</v>
      </c>
    </row>
    <row r="558">
      <c r="C558" s="3" t="s">
        <v>88</v>
      </c>
    </row>
    <row r="559">
      <c r="C559" s="3" t="s">
        <v>88</v>
      </c>
    </row>
    <row r="560">
      <c r="C560" s="3" t="s">
        <v>88</v>
      </c>
    </row>
    <row r="561">
      <c r="C561" s="3" t="s">
        <v>88</v>
      </c>
    </row>
    <row r="562">
      <c r="C562" s="3" t="s">
        <v>88</v>
      </c>
    </row>
    <row r="563">
      <c r="C563" s="3" t="s">
        <v>88</v>
      </c>
    </row>
    <row r="564">
      <c r="C564" s="3" t="s">
        <v>88</v>
      </c>
    </row>
    <row r="565">
      <c r="C565" s="3" t="s">
        <v>88</v>
      </c>
    </row>
    <row r="566">
      <c r="C566" s="3" t="s">
        <v>88</v>
      </c>
    </row>
    <row r="567">
      <c r="C567" s="3" t="s">
        <v>88</v>
      </c>
    </row>
    <row r="568">
      <c r="C568" s="3" t="s">
        <v>88</v>
      </c>
    </row>
    <row r="569">
      <c r="C569" s="3" t="s">
        <v>88</v>
      </c>
    </row>
    <row r="570">
      <c r="C570" s="3" t="s">
        <v>88</v>
      </c>
    </row>
    <row r="571">
      <c r="C571" s="3" t="s">
        <v>88</v>
      </c>
    </row>
    <row r="572">
      <c r="C572" s="3" t="s">
        <v>88</v>
      </c>
    </row>
    <row r="573">
      <c r="C573" s="3" t="s">
        <v>88</v>
      </c>
    </row>
    <row r="574">
      <c r="C574" s="3" t="s">
        <v>88</v>
      </c>
    </row>
    <row r="575">
      <c r="C575" s="3" t="s">
        <v>88</v>
      </c>
    </row>
    <row r="576">
      <c r="C576" s="3" t="s">
        <v>88</v>
      </c>
    </row>
    <row r="577">
      <c r="C577" s="3" t="s">
        <v>88</v>
      </c>
    </row>
    <row r="578">
      <c r="C578" s="3" t="s">
        <v>88</v>
      </c>
    </row>
    <row r="579">
      <c r="C579" s="3" t="s">
        <v>88</v>
      </c>
    </row>
    <row r="580">
      <c r="C580" s="3" t="s">
        <v>88</v>
      </c>
    </row>
    <row r="581">
      <c r="C581" s="3" t="s">
        <v>88</v>
      </c>
    </row>
    <row r="582">
      <c r="C582" s="3" t="s">
        <v>88</v>
      </c>
    </row>
    <row r="583">
      <c r="C583" s="3" t="s">
        <v>88</v>
      </c>
    </row>
    <row r="584">
      <c r="C584" s="3" t="s">
        <v>88</v>
      </c>
    </row>
    <row r="585">
      <c r="C585" s="3" t="s">
        <v>88</v>
      </c>
    </row>
    <row r="586">
      <c r="C586" s="3" t="s">
        <v>88</v>
      </c>
    </row>
    <row r="587">
      <c r="C587" s="3" t="s">
        <v>88</v>
      </c>
    </row>
    <row r="588">
      <c r="C588" s="3" t="s">
        <v>88</v>
      </c>
    </row>
    <row r="589">
      <c r="C589" s="3" t="s">
        <v>88</v>
      </c>
    </row>
    <row r="590">
      <c r="C590" s="3" t="s">
        <v>88</v>
      </c>
    </row>
    <row r="591">
      <c r="C591" s="3" t="s">
        <v>88</v>
      </c>
    </row>
    <row r="592">
      <c r="C592" s="3" t="s">
        <v>88</v>
      </c>
    </row>
    <row r="593">
      <c r="C593" s="3" t="s">
        <v>88</v>
      </c>
    </row>
    <row r="594">
      <c r="C594" s="3" t="s">
        <v>88</v>
      </c>
    </row>
    <row r="595">
      <c r="C595" s="3" t="s">
        <v>88</v>
      </c>
    </row>
    <row r="596">
      <c r="C596" s="3" t="s">
        <v>88</v>
      </c>
    </row>
    <row r="597">
      <c r="C597" s="3" t="s">
        <v>88</v>
      </c>
    </row>
    <row r="598">
      <c r="C598" s="3" t="s">
        <v>88</v>
      </c>
    </row>
    <row r="599">
      <c r="C599" s="3" t="s">
        <v>88</v>
      </c>
    </row>
    <row r="600">
      <c r="C600" s="3" t="s">
        <v>88</v>
      </c>
    </row>
    <row r="601">
      <c r="C601" s="3" t="s">
        <v>88</v>
      </c>
    </row>
    <row r="602">
      <c r="C602" s="3" t="s">
        <v>88</v>
      </c>
    </row>
    <row r="603">
      <c r="C603" s="3" t="s">
        <v>88</v>
      </c>
    </row>
    <row r="604">
      <c r="C604" s="3" t="s">
        <v>88</v>
      </c>
    </row>
    <row r="605">
      <c r="C605" s="3" t="s">
        <v>88</v>
      </c>
    </row>
    <row r="606">
      <c r="C606" s="3" t="s">
        <v>88</v>
      </c>
    </row>
    <row r="607">
      <c r="C607" s="3" t="s">
        <v>88</v>
      </c>
    </row>
    <row r="608">
      <c r="C608" s="3" t="s">
        <v>88</v>
      </c>
    </row>
    <row r="609">
      <c r="C609" s="3" t="s">
        <v>88</v>
      </c>
    </row>
    <row r="610">
      <c r="C610" s="3" t="s">
        <v>88</v>
      </c>
    </row>
    <row r="611">
      <c r="C611" s="3" t="s">
        <v>88</v>
      </c>
    </row>
    <row r="612">
      <c r="C612" s="3" t="s">
        <v>88</v>
      </c>
    </row>
    <row r="613">
      <c r="C613" s="3" t="s">
        <v>88</v>
      </c>
    </row>
    <row r="614">
      <c r="C614" s="3" t="s">
        <v>88</v>
      </c>
    </row>
    <row r="615">
      <c r="C615" s="3" t="s">
        <v>88</v>
      </c>
    </row>
    <row r="616">
      <c r="C616" s="3" t="s">
        <v>88</v>
      </c>
    </row>
    <row r="617">
      <c r="C617" s="3" t="s">
        <v>88</v>
      </c>
    </row>
    <row r="618">
      <c r="C618" s="3" t="s">
        <v>88</v>
      </c>
    </row>
    <row r="619">
      <c r="C619" s="3" t="s">
        <v>88</v>
      </c>
    </row>
    <row r="620">
      <c r="C620" s="3" t="s">
        <v>88</v>
      </c>
    </row>
    <row r="621">
      <c r="C621" s="3" t="s">
        <v>88</v>
      </c>
    </row>
    <row r="622">
      <c r="C622" s="3" t="s">
        <v>88</v>
      </c>
    </row>
    <row r="623">
      <c r="C623" s="3" t="s">
        <v>88</v>
      </c>
    </row>
    <row r="624">
      <c r="C624" s="3" t="s">
        <v>88</v>
      </c>
    </row>
    <row r="625">
      <c r="C625" s="3" t="s">
        <v>88</v>
      </c>
    </row>
    <row r="626">
      <c r="C626" s="3" t="s">
        <v>88</v>
      </c>
    </row>
    <row r="627">
      <c r="C627" s="3" t="s">
        <v>88</v>
      </c>
    </row>
    <row r="628">
      <c r="C628" s="3" t="s">
        <v>88</v>
      </c>
    </row>
    <row r="629">
      <c r="C629" s="3" t="s">
        <v>88</v>
      </c>
    </row>
    <row r="630">
      <c r="C630" s="3" t="s">
        <v>88</v>
      </c>
    </row>
    <row r="631">
      <c r="C631" s="3" t="s">
        <v>88</v>
      </c>
    </row>
    <row r="632">
      <c r="C632" s="3" t="s">
        <v>88</v>
      </c>
    </row>
    <row r="633">
      <c r="C633" s="3" t="s">
        <v>88</v>
      </c>
    </row>
    <row r="634">
      <c r="C634" s="3" t="s">
        <v>88</v>
      </c>
    </row>
    <row r="635">
      <c r="C635" s="3" t="s">
        <v>88</v>
      </c>
    </row>
    <row r="636">
      <c r="C636" s="3" t="s">
        <v>88</v>
      </c>
    </row>
    <row r="637">
      <c r="C637" s="3" t="s">
        <v>88</v>
      </c>
    </row>
    <row r="638">
      <c r="C638" s="3" t="s">
        <v>88</v>
      </c>
    </row>
    <row r="639">
      <c r="C639" s="3" t="s">
        <v>88</v>
      </c>
    </row>
    <row r="640">
      <c r="C640" s="3" t="s">
        <v>88</v>
      </c>
    </row>
    <row r="641">
      <c r="C641" s="3" t="s">
        <v>88</v>
      </c>
    </row>
    <row r="642">
      <c r="C642" s="3" t="s">
        <v>88</v>
      </c>
    </row>
    <row r="643">
      <c r="C643" s="3" t="s">
        <v>88</v>
      </c>
    </row>
    <row r="644">
      <c r="C644" s="3" t="s">
        <v>88</v>
      </c>
    </row>
    <row r="645">
      <c r="C645" s="3" t="s">
        <v>88</v>
      </c>
    </row>
    <row r="646">
      <c r="C646" s="3" t="s">
        <v>88</v>
      </c>
    </row>
    <row r="647">
      <c r="C647" s="3" t="s">
        <v>88</v>
      </c>
    </row>
    <row r="648">
      <c r="C648" s="3" t="s">
        <v>88</v>
      </c>
    </row>
    <row r="649">
      <c r="C649" s="3" t="s">
        <v>88</v>
      </c>
    </row>
    <row r="650">
      <c r="C650" s="3" t="s">
        <v>88</v>
      </c>
    </row>
    <row r="651">
      <c r="C651" s="3" t="s">
        <v>88</v>
      </c>
    </row>
    <row r="652">
      <c r="C652" s="3" t="s">
        <v>88</v>
      </c>
    </row>
    <row r="653">
      <c r="C653" s="3" t="s">
        <v>88</v>
      </c>
    </row>
    <row r="654">
      <c r="C654" s="3" t="s">
        <v>88</v>
      </c>
    </row>
    <row r="655">
      <c r="C655" s="3" t="s">
        <v>88</v>
      </c>
    </row>
    <row r="656">
      <c r="C656" s="3" t="s">
        <v>88</v>
      </c>
    </row>
    <row r="657">
      <c r="C657" s="3" t="s">
        <v>88</v>
      </c>
    </row>
    <row r="658">
      <c r="C658" s="3" t="s">
        <v>88</v>
      </c>
    </row>
    <row r="659">
      <c r="C659" s="3" t="s">
        <v>88</v>
      </c>
    </row>
    <row r="660">
      <c r="C660" s="3" t="s">
        <v>88</v>
      </c>
    </row>
    <row r="661">
      <c r="C661" s="3" t="s">
        <v>88</v>
      </c>
    </row>
    <row r="662">
      <c r="C662" s="3" t="s">
        <v>88</v>
      </c>
    </row>
    <row r="663">
      <c r="C663" s="3" t="s">
        <v>88</v>
      </c>
    </row>
    <row r="664">
      <c r="C664" s="3" t="s">
        <v>88</v>
      </c>
    </row>
    <row r="665">
      <c r="C665" s="3" t="s">
        <v>88</v>
      </c>
    </row>
    <row r="666">
      <c r="C666" s="3" t="s">
        <v>88</v>
      </c>
    </row>
    <row r="667">
      <c r="C667" s="3" t="s">
        <v>88</v>
      </c>
    </row>
    <row r="668">
      <c r="C668" s="3" t="s">
        <v>88</v>
      </c>
    </row>
    <row r="669">
      <c r="C669" s="3" t="s">
        <v>88</v>
      </c>
    </row>
    <row r="670">
      <c r="C670" s="3" t="s">
        <v>88</v>
      </c>
    </row>
    <row r="671">
      <c r="C671" s="3" t="s">
        <v>88</v>
      </c>
    </row>
    <row r="672">
      <c r="C672" s="3" t="s">
        <v>88</v>
      </c>
    </row>
    <row r="673">
      <c r="C673" s="3" t="s">
        <v>88</v>
      </c>
    </row>
    <row r="674">
      <c r="C674" s="3" t="s">
        <v>88</v>
      </c>
    </row>
    <row r="675">
      <c r="C675" s="3" t="s">
        <v>88</v>
      </c>
    </row>
    <row r="676">
      <c r="C676" s="3" t="s">
        <v>88</v>
      </c>
    </row>
    <row r="677">
      <c r="C677" s="3" t="s">
        <v>88</v>
      </c>
    </row>
    <row r="678">
      <c r="C678" s="3" t="s">
        <v>88</v>
      </c>
    </row>
    <row r="679">
      <c r="C679" s="3" t="s">
        <v>88</v>
      </c>
    </row>
    <row r="680">
      <c r="C680" s="3" t="s">
        <v>88</v>
      </c>
    </row>
    <row r="681">
      <c r="C681" s="3" t="s">
        <v>88</v>
      </c>
    </row>
    <row r="682">
      <c r="C682" s="3" t="s">
        <v>88</v>
      </c>
    </row>
    <row r="683">
      <c r="C683" s="3" t="s">
        <v>88</v>
      </c>
    </row>
    <row r="684">
      <c r="C684" s="3" t="s">
        <v>88</v>
      </c>
    </row>
    <row r="685">
      <c r="C685" s="3" t="s">
        <v>88</v>
      </c>
    </row>
    <row r="686">
      <c r="C686" s="3" t="s">
        <v>88</v>
      </c>
    </row>
    <row r="687">
      <c r="C687" s="3" t="s">
        <v>88</v>
      </c>
    </row>
    <row r="688">
      <c r="C688" s="3" t="s">
        <v>88</v>
      </c>
    </row>
    <row r="689">
      <c r="C689" s="3" t="s">
        <v>88</v>
      </c>
    </row>
    <row r="690">
      <c r="C690" s="3" t="s">
        <v>88</v>
      </c>
    </row>
    <row r="691">
      <c r="C691" s="3" t="s">
        <v>88</v>
      </c>
    </row>
    <row r="692">
      <c r="C692" s="3" t="s">
        <v>88</v>
      </c>
    </row>
    <row r="693">
      <c r="C693" s="3" t="s">
        <v>88</v>
      </c>
    </row>
    <row r="694">
      <c r="C694" s="3" t="s">
        <v>88</v>
      </c>
    </row>
    <row r="695">
      <c r="C695" s="3" t="s">
        <v>88</v>
      </c>
    </row>
    <row r="696">
      <c r="C696" s="3" t="s">
        <v>88</v>
      </c>
    </row>
    <row r="697">
      <c r="C697" s="3" t="s">
        <v>88</v>
      </c>
    </row>
    <row r="698">
      <c r="C698" s="3" t="s">
        <v>88</v>
      </c>
    </row>
    <row r="699">
      <c r="C699" s="3" t="s">
        <v>88</v>
      </c>
    </row>
    <row r="700">
      <c r="C700" s="3" t="s">
        <v>88</v>
      </c>
    </row>
    <row r="701">
      <c r="C701" s="3" t="s">
        <v>88</v>
      </c>
    </row>
    <row r="702">
      <c r="C702" s="3" t="s">
        <v>88</v>
      </c>
    </row>
    <row r="703">
      <c r="C703" s="3" t="s">
        <v>88</v>
      </c>
    </row>
    <row r="704">
      <c r="C704" s="3" t="s">
        <v>88</v>
      </c>
    </row>
    <row r="705">
      <c r="C705" s="3" t="s">
        <v>88</v>
      </c>
    </row>
    <row r="706">
      <c r="C706" s="3" t="s">
        <v>88</v>
      </c>
    </row>
    <row r="707">
      <c r="C707" s="3" t="s">
        <v>88</v>
      </c>
    </row>
    <row r="708">
      <c r="C708" s="3" t="s">
        <v>88</v>
      </c>
    </row>
    <row r="709">
      <c r="C709" s="3" t="s">
        <v>88</v>
      </c>
    </row>
    <row r="710">
      <c r="C710" s="3" t="s">
        <v>88</v>
      </c>
    </row>
    <row r="711">
      <c r="C711" s="3" t="s">
        <v>88</v>
      </c>
    </row>
    <row r="712">
      <c r="C712" s="3" t="s">
        <v>88</v>
      </c>
    </row>
    <row r="713">
      <c r="C713" s="3" t="s">
        <v>88</v>
      </c>
    </row>
    <row r="714">
      <c r="C714" s="3" t="s">
        <v>88</v>
      </c>
    </row>
    <row r="715">
      <c r="C715" s="3" t="s">
        <v>88</v>
      </c>
    </row>
    <row r="716">
      <c r="C716" s="3" t="s">
        <v>88</v>
      </c>
    </row>
    <row r="717">
      <c r="C717" s="3" t="s">
        <v>88</v>
      </c>
    </row>
    <row r="718">
      <c r="C718" s="3" t="s">
        <v>88</v>
      </c>
    </row>
    <row r="719">
      <c r="C719" s="3" t="s">
        <v>88</v>
      </c>
    </row>
    <row r="720">
      <c r="C720" s="3" t="s">
        <v>88</v>
      </c>
    </row>
    <row r="721">
      <c r="C721" s="3" t="s">
        <v>88</v>
      </c>
    </row>
    <row r="722">
      <c r="C722" s="3" t="s">
        <v>88</v>
      </c>
    </row>
    <row r="723">
      <c r="C723" s="3" t="s">
        <v>88</v>
      </c>
    </row>
    <row r="724">
      <c r="C724" s="3" t="s">
        <v>88</v>
      </c>
    </row>
    <row r="725">
      <c r="C725" s="3" t="s">
        <v>88</v>
      </c>
    </row>
    <row r="726">
      <c r="C726" s="3" t="s">
        <v>88</v>
      </c>
    </row>
    <row r="727">
      <c r="C727" s="3" t="s">
        <v>88</v>
      </c>
    </row>
    <row r="728">
      <c r="C728" s="3" t="s">
        <v>88</v>
      </c>
    </row>
    <row r="729">
      <c r="C729" s="3" t="s">
        <v>88</v>
      </c>
    </row>
    <row r="730">
      <c r="C730" s="3" t="s">
        <v>88</v>
      </c>
    </row>
    <row r="731">
      <c r="C731" s="3" t="s">
        <v>88</v>
      </c>
    </row>
    <row r="732">
      <c r="C732" s="3" t="s">
        <v>88</v>
      </c>
    </row>
    <row r="733">
      <c r="C733" s="3" t="s">
        <v>88</v>
      </c>
    </row>
    <row r="734">
      <c r="C734" s="3" t="s">
        <v>88</v>
      </c>
    </row>
    <row r="735">
      <c r="C735" s="3" t="s">
        <v>88</v>
      </c>
    </row>
    <row r="736">
      <c r="C736" s="3" t="s">
        <v>88</v>
      </c>
    </row>
    <row r="737">
      <c r="C737" s="3" t="s">
        <v>88</v>
      </c>
    </row>
    <row r="738">
      <c r="C738" s="3" t="s">
        <v>88</v>
      </c>
    </row>
    <row r="739">
      <c r="C739" s="3" t="s">
        <v>88</v>
      </c>
    </row>
    <row r="740">
      <c r="C740" s="3" t="s">
        <v>88</v>
      </c>
    </row>
    <row r="741">
      <c r="C741" s="3" t="s">
        <v>88</v>
      </c>
    </row>
    <row r="742">
      <c r="C742" s="3" t="s">
        <v>88</v>
      </c>
    </row>
    <row r="743">
      <c r="C743" s="3" t="s">
        <v>88</v>
      </c>
    </row>
    <row r="744">
      <c r="C744" s="3" t="s">
        <v>88</v>
      </c>
    </row>
    <row r="745">
      <c r="C745" s="3" t="s">
        <v>88</v>
      </c>
    </row>
    <row r="746">
      <c r="C746" s="3" t="s">
        <v>88</v>
      </c>
    </row>
    <row r="747">
      <c r="C747" s="3" t="s">
        <v>88</v>
      </c>
    </row>
    <row r="748">
      <c r="C748" s="3" t="s">
        <v>88</v>
      </c>
    </row>
    <row r="749">
      <c r="C749" s="3" t="s">
        <v>88</v>
      </c>
    </row>
    <row r="750">
      <c r="C750" s="3" t="s">
        <v>88</v>
      </c>
    </row>
    <row r="751">
      <c r="C751" s="3" t="s">
        <v>88</v>
      </c>
    </row>
    <row r="752">
      <c r="C752" s="3" t="s">
        <v>88</v>
      </c>
    </row>
    <row r="753">
      <c r="C753" s="3" t="s">
        <v>88</v>
      </c>
    </row>
    <row r="754">
      <c r="C754" s="3" t="s">
        <v>88</v>
      </c>
    </row>
    <row r="755">
      <c r="C755" s="3" t="s">
        <v>88</v>
      </c>
    </row>
    <row r="756">
      <c r="C756" s="3" t="s">
        <v>88</v>
      </c>
    </row>
    <row r="757">
      <c r="C757" s="3" t="s">
        <v>88</v>
      </c>
    </row>
    <row r="758">
      <c r="C758" s="3" t="s">
        <v>88</v>
      </c>
    </row>
    <row r="759">
      <c r="C759" s="3" t="s">
        <v>88</v>
      </c>
    </row>
    <row r="760">
      <c r="C760" s="3" t="s">
        <v>88</v>
      </c>
    </row>
    <row r="761">
      <c r="C761" s="3" t="s">
        <v>88</v>
      </c>
    </row>
    <row r="762">
      <c r="C762" s="3" t="s">
        <v>88</v>
      </c>
    </row>
    <row r="763">
      <c r="C763" s="3" t="s">
        <v>88</v>
      </c>
    </row>
    <row r="764">
      <c r="C764" s="3" t="s">
        <v>88</v>
      </c>
    </row>
    <row r="765">
      <c r="C765" s="3" t="s">
        <v>88</v>
      </c>
    </row>
    <row r="766">
      <c r="C766" s="3" t="s">
        <v>88</v>
      </c>
    </row>
    <row r="767">
      <c r="C767" s="3" t="s">
        <v>88</v>
      </c>
    </row>
    <row r="768">
      <c r="C768" s="3" t="s">
        <v>88</v>
      </c>
    </row>
    <row r="769">
      <c r="C769" s="3" t="s">
        <v>88</v>
      </c>
    </row>
    <row r="770">
      <c r="C770" s="3" t="s">
        <v>88</v>
      </c>
    </row>
    <row r="771">
      <c r="C771" s="3" t="s">
        <v>88</v>
      </c>
    </row>
    <row r="772">
      <c r="C772" s="3" t="s">
        <v>88</v>
      </c>
    </row>
    <row r="773">
      <c r="C773" s="3" t="s">
        <v>88</v>
      </c>
    </row>
    <row r="774">
      <c r="C774" s="3" t="s">
        <v>88</v>
      </c>
    </row>
    <row r="775">
      <c r="C775" s="3" t="s">
        <v>88</v>
      </c>
    </row>
    <row r="776">
      <c r="C776" s="3" t="s">
        <v>88</v>
      </c>
    </row>
    <row r="777">
      <c r="C777" s="3" t="s">
        <v>88</v>
      </c>
    </row>
    <row r="778">
      <c r="C778" s="3" t="s">
        <v>88</v>
      </c>
    </row>
    <row r="779">
      <c r="C779" s="3" t="s">
        <v>88</v>
      </c>
    </row>
    <row r="780">
      <c r="C780" s="3" t="s">
        <v>88</v>
      </c>
    </row>
    <row r="781">
      <c r="C781" s="3" t="s">
        <v>88</v>
      </c>
    </row>
    <row r="782">
      <c r="C782" s="3" t="s">
        <v>88</v>
      </c>
    </row>
    <row r="783">
      <c r="C783" s="3" t="s">
        <v>88</v>
      </c>
    </row>
    <row r="784">
      <c r="C784" s="3" t="s">
        <v>88</v>
      </c>
    </row>
    <row r="785">
      <c r="C785" s="3" t="s">
        <v>88</v>
      </c>
    </row>
    <row r="786">
      <c r="C786" s="3" t="s">
        <v>88</v>
      </c>
    </row>
    <row r="787">
      <c r="C787" s="3" t="s">
        <v>88</v>
      </c>
    </row>
    <row r="788">
      <c r="C788" s="3" t="s">
        <v>88</v>
      </c>
    </row>
    <row r="789">
      <c r="C789" s="3" t="s">
        <v>88</v>
      </c>
    </row>
    <row r="790">
      <c r="C790" s="3" t="s">
        <v>88</v>
      </c>
    </row>
    <row r="791">
      <c r="C791" s="3" t="s">
        <v>88</v>
      </c>
    </row>
    <row r="792">
      <c r="C792" s="3" t="s">
        <v>88</v>
      </c>
    </row>
    <row r="793">
      <c r="C793" s="3" t="s">
        <v>88</v>
      </c>
    </row>
    <row r="794">
      <c r="C794" s="3" t="s">
        <v>88</v>
      </c>
    </row>
    <row r="795">
      <c r="C795" s="3" t="s">
        <v>88</v>
      </c>
    </row>
    <row r="796">
      <c r="C796" s="3" t="s">
        <v>88</v>
      </c>
    </row>
    <row r="797">
      <c r="C797" s="3" t="s">
        <v>88</v>
      </c>
    </row>
    <row r="798">
      <c r="C798" s="3" t="s">
        <v>88</v>
      </c>
    </row>
    <row r="799">
      <c r="C799" s="3" t="s">
        <v>88</v>
      </c>
    </row>
    <row r="800">
      <c r="C800" s="3" t="s">
        <v>88</v>
      </c>
    </row>
    <row r="801">
      <c r="C801" s="3" t="s">
        <v>88</v>
      </c>
    </row>
    <row r="802">
      <c r="C802" s="3" t="s">
        <v>88</v>
      </c>
    </row>
    <row r="803">
      <c r="C803" s="3" t="s">
        <v>88</v>
      </c>
    </row>
    <row r="804">
      <c r="C804" s="3" t="s">
        <v>88</v>
      </c>
    </row>
    <row r="805">
      <c r="C805" s="3" t="s">
        <v>88</v>
      </c>
    </row>
    <row r="806">
      <c r="C806" s="3" t="s">
        <v>88</v>
      </c>
    </row>
    <row r="807">
      <c r="C807" s="3" t="s">
        <v>88</v>
      </c>
    </row>
    <row r="808">
      <c r="C808" s="3" t="s">
        <v>88</v>
      </c>
    </row>
    <row r="809">
      <c r="C809" s="3" t="s">
        <v>88</v>
      </c>
    </row>
    <row r="810">
      <c r="C810" s="3" t="s">
        <v>88</v>
      </c>
    </row>
    <row r="811">
      <c r="C811" s="3" t="s">
        <v>88</v>
      </c>
    </row>
    <row r="812">
      <c r="C812" s="3" t="s">
        <v>88</v>
      </c>
    </row>
    <row r="813">
      <c r="C813" s="3" t="s">
        <v>88</v>
      </c>
    </row>
    <row r="814">
      <c r="C814" s="3" t="s">
        <v>88</v>
      </c>
    </row>
    <row r="815">
      <c r="C815" s="3" t="s">
        <v>88</v>
      </c>
    </row>
    <row r="816">
      <c r="C816" s="3" t="s">
        <v>88</v>
      </c>
    </row>
    <row r="817">
      <c r="C817" s="3" t="s">
        <v>88</v>
      </c>
    </row>
    <row r="818">
      <c r="C818" s="3" t="s">
        <v>88</v>
      </c>
    </row>
    <row r="819">
      <c r="C819" s="3" t="s">
        <v>88</v>
      </c>
    </row>
    <row r="820">
      <c r="C820" s="3" t="s">
        <v>88</v>
      </c>
    </row>
    <row r="821">
      <c r="C821" s="3" t="s">
        <v>88</v>
      </c>
    </row>
    <row r="822">
      <c r="C822" s="3" t="s">
        <v>88</v>
      </c>
    </row>
    <row r="823">
      <c r="C823" s="3" t="s">
        <v>88</v>
      </c>
    </row>
    <row r="824">
      <c r="C824" s="3" t="s">
        <v>88</v>
      </c>
    </row>
    <row r="825">
      <c r="C825" s="3" t="s">
        <v>88</v>
      </c>
    </row>
    <row r="826">
      <c r="C826" s="3" t="s">
        <v>88</v>
      </c>
    </row>
    <row r="827">
      <c r="C827" s="3" t="s">
        <v>88</v>
      </c>
    </row>
    <row r="828">
      <c r="C828" s="3" t="s">
        <v>88</v>
      </c>
    </row>
    <row r="829">
      <c r="C829" s="3" t="s">
        <v>88</v>
      </c>
    </row>
    <row r="830">
      <c r="C830" s="3" t="s">
        <v>88</v>
      </c>
    </row>
    <row r="831">
      <c r="C831" s="3" t="s">
        <v>88</v>
      </c>
    </row>
    <row r="832">
      <c r="C832" s="3" t="s">
        <v>88</v>
      </c>
    </row>
    <row r="833">
      <c r="C833" s="3" t="s">
        <v>88</v>
      </c>
    </row>
    <row r="834">
      <c r="C834" s="3" t="s">
        <v>88</v>
      </c>
    </row>
    <row r="835">
      <c r="C835" s="3" t="s">
        <v>88</v>
      </c>
    </row>
    <row r="836">
      <c r="C836" s="3" t="s">
        <v>88</v>
      </c>
    </row>
    <row r="837">
      <c r="C837" s="3" t="s">
        <v>88</v>
      </c>
    </row>
    <row r="838">
      <c r="C838" s="3" t="s">
        <v>88</v>
      </c>
    </row>
    <row r="839">
      <c r="C839" s="3" t="s">
        <v>88</v>
      </c>
    </row>
    <row r="840">
      <c r="C840" s="3" t="s">
        <v>88</v>
      </c>
    </row>
    <row r="841">
      <c r="C841" s="3" t="s">
        <v>88</v>
      </c>
    </row>
    <row r="842">
      <c r="C842" s="3" t="s">
        <v>88</v>
      </c>
    </row>
    <row r="843">
      <c r="C843" s="3" t="s">
        <v>88</v>
      </c>
    </row>
    <row r="844">
      <c r="C844" s="3" t="s">
        <v>88</v>
      </c>
    </row>
    <row r="845">
      <c r="C845" s="3" t="s">
        <v>88</v>
      </c>
    </row>
    <row r="846">
      <c r="C846" s="3" t="s">
        <v>88</v>
      </c>
    </row>
    <row r="847">
      <c r="C847" s="3" t="s">
        <v>88</v>
      </c>
    </row>
    <row r="848">
      <c r="C848" s="3" t="s">
        <v>88</v>
      </c>
    </row>
    <row r="849">
      <c r="C849" s="3" t="s">
        <v>88</v>
      </c>
    </row>
    <row r="850">
      <c r="C850" s="3" t="s">
        <v>88</v>
      </c>
    </row>
    <row r="851">
      <c r="C851" s="3" t="s">
        <v>88</v>
      </c>
    </row>
    <row r="852">
      <c r="C852" s="3" t="s">
        <v>88</v>
      </c>
    </row>
    <row r="853">
      <c r="C853" s="3" t="s">
        <v>88</v>
      </c>
    </row>
    <row r="854">
      <c r="C854" s="3" t="s">
        <v>88</v>
      </c>
    </row>
    <row r="855">
      <c r="C855" s="3" t="s">
        <v>88</v>
      </c>
    </row>
    <row r="856">
      <c r="C856" s="3" t="s">
        <v>88</v>
      </c>
    </row>
    <row r="857">
      <c r="C857" s="3" t="s">
        <v>88</v>
      </c>
    </row>
    <row r="858">
      <c r="C858" s="3" t="s">
        <v>88</v>
      </c>
    </row>
    <row r="859">
      <c r="C859" s="3" t="s">
        <v>88</v>
      </c>
    </row>
    <row r="860">
      <c r="C860" s="3" t="s">
        <v>88</v>
      </c>
    </row>
    <row r="861">
      <c r="C861" s="3" t="s">
        <v>88</v>
      </c>
    </row>
    <row r="862">
      <c r="C862" s="3" t="s">
        <v>88</v>
      </c>
    </row>
    <row r="863">
      <c r="C863" s="3" t="s">
        <v>88</v>
      </c>
    </row>
    <row r="864">
      <c r="C864" s="3" t="s">
        <v>88</v>
      </c>
    </row>
    <row r="865">
      <c r="C865" s="3" t="s">
        <v>88</v>
      </c>
    </row>
    <row r="866">
      <c r="C866" s="3" t="s">
        <v>88</v>
      </c>
    </row>
    <row r="867">
      <c r="C867" s="3" t="s">
        <v>88</v>
      </c>
    </row>
    <row r="868">
      <c r="C868" s="3" t="s">
        <v>88</v>
      </c>
    </row>
    <row r="869">
      <c r="C869" s="3" t="s">
        <v>88</v>
      </c>
    </row>
    <row r="870">
      <c r="C870" s="3" t="s">
        <v>88</v>
      </c>
    </row>
    <row r="871">
      <c r="C871" s="3" t="s">
        <v>88</v>
      </c>
    </row>
    <row r="872">
      <c r="C872" s="3" t="s">
        <v>88</v>
      </c>
    </row>
    <row r="873">
      <c r="C873" s="3" t="s">
        <v>88</v>
      </c>
    </row>
    <row r="874">
      <c r="C874" s="3" t="s">
        <v>88</v>
      </c>
    </row>
    <row r="875">
      <c r="C875" s="3" t="s">
        <v>88</v>
      </c>
    </row>
    <row r="876">
      <c r="C876" s="3" t="s">
        <v>88</v>
      </c>
    </row>
    <row r="877">
      <c r="C877" s="3" t="s">
        <v>88</v>
      </c>
    </row>
    <row r="878">
      <c r="C878" s="3" t="s">
        <v>88</v>
      </c>
    </row>
    <row r="879">
      <c r="C879" s="3" t="s">
        <v>88</v>
      </c>
    </row>
    <row r="880">
      <c r="C880" s="3" t="s">
        <v>88</v>
      </c>
    </row>
    <row r="881">
      <c r="C881" s="3" t="s">
        <v>88</v>
      </c>
    </row>
    <row r="882">
      <c r="C882" s="3" t="s">
        <v>88</v>
      </c>
    </row>
    <row r="883">
      <c r="C883" s="3" t="s">
        <v>88</v>
      </c>
    </row>
    <row r="884">
      <c r="C884" s="3" t="s">
        <v>88</v>
      </c>
    </row>
    <row r="885">
      <c r="C885" s="3" t="s">
        <v>88</v>
      </c>
    </row>
    <row r="886">
      <c r="C886" s="3" t="s">
        <v>88</v>
      </c>
    </row>
    <row r="887">
      <c r="C887" s="3" t="s">
        <v>88</v>
      </c>
    </row>
    <row r="888">
      <c r="C888" s="3" t="s">
        <v>88</v>
      </c>
    </row>
    <row r="889">
      <c r="C889" s="3" t="s">
        <v>88</v>
      </c>
    </row>
    <row r="890">
      <c r="C890" s="3" t="s">
        <v>88</v>
      </c>
    </row>
    <row r="891">
      <c r="C891" s="3" t="s">
        <v>88</v>
      </c>
    </row>
    <row r="892">
      <c r="C892" s="3" t="s">
        <v>88</v>
      </c>
    </row>
    <row r="893">
      <c r="C893" s="3" t="s">
        <v>88</v>
      </c>
    </row>
    <row r="894">
      <c r="C894" s="3" t="s">
        <v>88</v>
      </c>
    </row>
    <row r="895">
      <c r="C895" s="3" t="s">
        <v>88</v>
      </c>
    </row>
    <row r="896">
      <c r="C896" s="3" t="s">
        <v>88</v>
      </c>
    </row>
    <row r="897">
      <c r="C897" s="3" t="s">
        <v>88</v>
      </c>
    </row>
    <row r="898">
      <c r="C898" s="3" t="s">
        <v>88</v>
      </c>
    </row>
    <row r="899">
      <c r="C899" s="3" t="s">
        <v>88</v>
      </c>
    </row>
    <row r="900">
      <c r="C900" s="3" t="s">
        <v>88</v>
      </c>
    </row>
    <row r="901">
      <c r="C901" s="3" t="s">
        <v>88</v>
      </c>
    </row>
    <row r="902">
      <c r="C902" s="3" t="s">
        <v>88</v>
      </c>
    </row>
    <row r="903">
      <c r="C903" s="3" t="s">
        <v>88</v>
      </c>
    </row>
    <row r="904">
      <c r="C904" s="3" t="s">
        <v>88</v>
      </c>
    </row>
    <row r="905">
      <c r="C905" s="3" t="s">
        <v>88</v>
      </c>
    </row>
    <row r="906">
      <c r="C906" s="3" t="s">
        <v>88</v>
      </c>
    </row>
    <row r="907">
      <c r="C907" s="3" t="s">
        <v>88</v>
      </c>
    </row>
    <row r="908">
      <c r="C908" s="3" t="s">
        <v>88</v>
      </c>
    </row>
    <row r="909">
      <c r="C909" s="3" t="s">
        <v>88</v>
      </c>
    </row>
    <row r="910">
      <c r="C910" s="3" t="s">
        <v>88</v>
      </c>
    </row>
    <row r="911">
      <c r="C911" s="3" t="s">
        <v>88</v>
      </c>
    </row>
    <row r="912">
      <c r="C912" s="3" t="s">
        <v>88</v>
      </c>
    </row>
    <row r="913">
      <c r="C913" s="3" t="s">
        <v>88</v>
      </c>
    </row>
    <row r="914">
      <c r="C914" s="3" t="s">
        <v>88</v>
      </c>
    </row>
    <row r="915">
      <c r="C915" s="3" t="s">
        <v>88</v>
      </c>
    </row>
    <row r="916">
      <c r="C916" s="3" t="s">
        <v>88</v>
      </c>
    </row>
    <row r="917">
      <c r="C917" s="3" t="s">
        <v>88</v>
      </c>
    </row>
    <row r="918">
      <c r="C918" s="3" t="s">
        <v>88</v>
      </c>
    </row>
    <row r="919">
      <c r="C919" s="3" t="s">
        <v>88</v>
      </c>
    </row>
    <row r="920">
      <c r="C920" s="3" t="s">
        <v>88</v>
      </c>
    </row>
    <row r="921">
      <c r="C921" s="3" t="s">
        <v>88</v>
      </c>
    </row>
    <row r="922">
      <c r="C922" s="3" t="s">
        <v>88</v>
      </c>
    </row>
    <row r="923">
      <c r="C923" s="3" t="s">
        <v>88</v>
      </c>
    </row>
    <row r="924">
      <c r="C924" s="3" t="s">
        <v>88</v>
      </c>
    </row>
    <row r="925">
      <c r="C925" s="3" t="s">
        <v>88</v>
      </c>
    </row>
    <row r="926">
      <c r="C926" s="3" t="s">
        <v>88</v>
      </c>
    </row>
    <row r="927">
      <c r="C927" s="3" t="s">
        <v>88</v>
      </c>
    </row>
    <row r="928">
      <c r="C928" s="3" t="s">
        <v>88</v>
      </c>
    </row>
    <row r="929">
      <c r="C929" s="3" t="s">
        <v>88</v>
      </c>
    </row>
    <row r="930">
      <c r="C930" s="3" t="s">
        <v>88</v>
      </c>
    </row>
    <row r="931">
      <c r="C931" s="3" t="s">
        <v>88</v>
      </c>
    </row>
    <row r="932">
      <c r="C932" s="3" t="s">
        <v>88</v>
      </c>
    </row>
    <row r="933">
      <c r="C933" s="3" t="s">
        <v>88</v>
      </c>
    </row>
    <row r="934">
      <c r="C934" s="3" t="s">
        <v>88</v>
      </c>
    </row>
    <row r="935">
      <c r="C935" s="3" t="s">
        <v>88</v>
      </c>
    </row>
    <row r="936">
      <c r="C936" s="3" t="s">
        <v>88</v>
      </c>
    </row>
    <row r="937">
      <c r="C937" s="3" t="s">
        <v>88</v>
      </c>
    </row>
    <row r="938">
      <c r="C938" s="3" t="s">
        <v>88</v>
      </c>
    </row>
    <row r="939">
      <c r="C939" s="3" t="s">
        <v>88</v>
      </c>
    </row>
    <row r="940">
      <c r="C940" s="3" t="s">
        <v>88</v>
      </c>
    </row>
    <row r="941">
      <c r="C941" s="3" t="s">
        <v>88</v>
      </c>
    </row>
    <row r="942">
      <c r="C942" s="3" t="s">
        <v>88</v>
      </c>
    </row>
    <row r="943">
      <c r="C943" s="3" t="s">
        <v>88</v>
      </c>
    </row>
    <row r="944">
      <c r="C944" s="3" t="s">
        <v>88</v>
      </c>
    </row>
    <row r="945">
      <c r="C945" s="3" t="s">
        <v>88</v>
      </c>
    </row>
    <row r="946">
      <c r="C946" s="3" t="s">
        <v>88</v>
      </c>
    </row>
    <row r="947">
      <c r="C947" s="3" t="s">
        <v>88</v>
      </c>
    </row>
    <row r="948">
      <c r="C948" s="3" t="s">
        <v>88</v>
      </c>
    </row>
    <row r="949">
      <c r="C949" s="3" t="s">
        <v>88</v>
      </c>
    </row>
    <row r="950">
      <c r="C950" s="3" t="s">
        <v>88</v>
      </c>
    </row>
    <row r="951">
      <c r="C951" s="3" t="s">
        <v>88</v>
      </c>
    </row>
    <row r="952">
      <c r="C952" s="3" t="s">
        <v>88</v>
      </c>
    </row>
    <row r="953">
      <c r="C953" s="3" t="s">
        <v>88</v>
      </c>
    </row>
    <row r="954">
      <c r="C954" s="3" t="s">
        <v>88</v>
      </c>
    </row>
    <row r="955">
      <c r="C955" s="3" t="s">
        <v>88</v>
      </c>
    </row>
    <row r="956">
      <c r="C956" s="3" t="s">
        <v>88</v>
      </c>
    </row>
    <row r="957">
      <c r="C957" s="3" t="s">
        <v>88</v>
      </c>
    </row>
    <row r="958">
      <c r="C958" s="3" t="s">
        <v>88</v>
      </c>
    </row>
    <row r="959">
      <c r="C959" s="3" t="s">
        <v>88</v>
      </c>
    </row>
    <row r="960">
      <c r="C960" s="3" t="s">
        <v>88</v>
      </c>
    </row>
    <row r="961">
      <c r="C961" s="3" t="s">
        <v>88</v>
      </c>
    </row>
    <row r="962">
      <c r="C962" s="3" t="s">
        <v>88</v>
      </c>
    </row>
    <row r="963">
      <c r="C963" s="3" t="s">
        <v>88</v>
      </c>
    </row>
    <row r="964">
      <c r="C964" s="3" t="s">
        <v>88</v>
      </c>
    </row>
    <row r="965">
      <c r="C965" s="3" t="s">
        <v>88</v>
      </c>
    </row>
    <row r="966">
      <c r="C966" s="3" t="s">
        <v>88</v>
      </c>
    </row>
    <row r="967">
      <c r="C967" s="3" t="s">
        <v>88</v>
      </c>
    </row>
    <row r="968">
      <c r="C968" s="3" t="s">
        <v>88</v>
      </c>
    </row>
    <row r="969">
      <c r="C969" s="3" t="s">
        <v>88</v>
      </c>
    </row>
    <row r="970">
      <c r="C970" s="3" t="s">
        <v>88</v>
      </c>
    </row>
    <row r="971">
      <c r="C971" s="3" t="s">
        <v>88</v>
      </c>
    </row>
    <row r="972">
      <c r="C972" s="3" t="s">
        <v>88</v>
      </c>
    </row>
    <row r="973">
      <c r="C973" s="3" t="s">
        <v>88</v>
      </c>
    </row>
    <row r="974">
      <c r="C974" s="3" t="s">
        <v>88</v>
      </c>
    </row>
    <row r="975">
      <c r="C975" s="3" t="s">
        <v>88</v>
      </c>
    </row>
    <row r="976">
      <c r="C976" s="3" t="s">
        <v>88</v>
      </c>
    </row>
    <row r="977">
      <c r="C977" s="3" t="s">
        <v>88</v>
      </c>
    </row>
    <row r="978">
      <c r="C978" s="3" t="s">
        <v>88</v>
      </c>
    </row>
    <row r="979">
      <c r="C979" s="3" t="s">
        <v>88</v>
      </c>
    </row>
    <row r="980">
      <c r="C980" s="3" t="s">
        <v>88</v>
      </c>
    </row>
    <row r="981">
      <c r="C981" s="3" t="s">
        <v>88</v>
      </c>
    </row>
    <row r="982">
      <c r="C982" s="3" t="s">
        <v>88</v>
      </c>
    </row>
    <row r="983">
      <c r="C983" s="3" t="s">
        <v>88</v>
      </c>
    </row>
    <row r="984">
      <c r="C984" s="3" t="s">
        <v>88</v>
      </c>
    </row>
    <row r="985">
      <c r="C985" s="3" t="s">
        <v>88</v>
      </c>
    </row>
    <row r="986">
      <c r="C986" s="3" t="s">
        <v>88</v>
      </c>
    </row>
    <row r="987">
      <c r="C987" s="3" t="s">
        <v>88</v>
      </c>
    </row>
    <row r="988">
      <c r="C988" s="3" t="s">
        <v>88</v>
      </c>
    </row>
    <row r="989">
      <c r="C989" s="3" t="s">
        <v>88</v>
      </c>
    </row>
    <row r="990">
      <c r="C990" s="3" t="s">
        <v>88</v>
      </c>
    </row>
    <row r="991">
      <c r="C991" s="3" t="s">
        <v>88</v>
      </c>
    </row>
    <row r="992">
      <c r="C992" s="3" t="s">
        <v>88</v>
      </c>
    </row>
    <row r="993">
      <c r="C993" s="3" t="s">
        <v>88</v>
      </c>
    </row>
    <row r="994">
      <c r="C994" s="3" t="s">
        <v>88</v>
      </c>
    </row>
    <row r="995">
      <c r="C995" s="3" t="s">
        <v>88</v>
      </c>
    </row>
    <row r="996">
      <c r="C996" s="3" t="s">
        <v>88</v>
      </c>
    </row>
    <row r="997">
      <c r="C997" s="3" t="s">
        <v>88</v>
      </c>
    </row>
    <row r="998">
      <c r="C998" s="3" t="s">
        <v>88</v>
      </c>
    </row>
    <row r="999">
      <c r="C999" s="3" t="s">
        <v>88</v>
      </c>
    </row>
    <row r="1000">
      <c r="C1000" s="3" t="s">
        <v>88</v>
      </c>
    </row>
  </sheetData>
  <autoFilter ref="$A$1:$C$30">
    <sortState ref="A1:C30">
      <sortCondition ref="A1:A3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18</v>
      </c>
      <c r="C1" s="3" t="s">
        <v>102</v>
      </c>
      <c r="D1" s="4" t="s">
        <v>114</v>
      </c>
      <c r="E1" s="3" t="s">
        <v>23</v>
      </c>
      <c r="F1" s="3" t="s">
        <v>26</v>
      </c>
      <c r="G1" s="3" t="s">
        <v>27</v>
      </c>
      <c r="H1" s="3" t="s">
        <v>28</v>
      </c>
      <c r="I1" s="3" t="s">
        <v>32</v>
      </c>
      <c r="J1" s="3" t="s">
        <v>33</v>
      </c>
      <c r="K1" s="4" t="s">
        <v>34</v>
      </c>
      <c r="L1" s="3" t="s">
        <v>35</v>
      </c>
      <c r="M1" s="4" t="s">
        <v>115</v>
      </c>
      <c r="N1" s="4" t="s">
        <v>37</v>
      </c>
      <c r="O1" s="4" t="s">
        <v>38</v>
      </c>
      <c r="P1" s="3" t="s">
        <v>40</v>
      </c>
      <c r="Q1" s="4" t="s">
        <v>41</v>
      </c>
      <c r="R1" s="3" t="s">
        <v>42</v>
      </c>
      <c r="S1" s="4" t="s">
        <v>43</v>
      </c>
      <c r="T1" s="3" t="s">
        <v>44</v>
      </c>
      <c r="U1" s="3" t="s">
        <v>45</v>
      </c>
      <c r="V1" s="3" t="s">
        <v>46</v>
      </c>
      <c r="W1" s="4" t="s">
        <v>47</v>
      </c>
      <c r="X1" s="3" t="s">
        <v>48</v>
      </c>
    </row>
    <row r="2">
      <c r="A2" s="4">
        <v>23.0</v>
      </c>
      <c r="B2" s="4">
        <v>22.0</v>
      </c>
      <c r="C2" s="4">
        <v>22.0</v>
      </c>
      <c r="D2" s="4">
        <v>5.0</v>
      </c>
      <c r="E2" s="4">
        <v>27.0</v>
      </c>
      <c r="F2" s="4">
        <v>13.0</v>
      </c>
      <c r="G2" s="4">
        <v>18.0</v>
      </c>
      <c r="H2" s="4">
        <v>7.0</v>
      </c>
      <c r="I2" s="4">
        <v>10.0</v>
      </c>
      <c r="J2" s="4">
        <v>14.0</v>
      </c>
      <c r="K2" s="4">
        <v>3.0</v>
      </c>
      <c r="L2" s="4">
        <v>12.0</v>
      </c>
      <c r="M2" s="4">
        <v>3.0</v>
      </c>
      <c r="N2" s="4">
        <v>11.0</v>
      </c>
      <c r="O2" s="4">
        <v>4.0</v>
      </c>
      <c r="P2" s="4">
        <v>10.0</v>
      </c>
      <c r="Q2" s="4">
        <v>9.0</v>
      </c>
      <c r="R2" s="4">
        <v>8.0</v>
      </c>
      <c r="S2" s="4">
        <v>3.0</v>
      </c>
      <c r="T2" s="4">
        <v>27.0</v>
      </c>
      <c r="U2" s="4">
        <v>18.0</v>
      </c>
      <c r="V2" s="4">
        <v>3.0</v>
      </c>
      <c r="W2" s="4">
        <v>3.0</v>
      </c>
      <c r="X2" s="4">
        <v>14.0</v>
      </c>
    </row>
    <row r="4">
      <c r="A4" s="3" t="str">
        <f t="array" ref="A4:B27">transpose(A1:X2)</f>
        <v>Aaron</v>
      </c>
      <c r="B4" s="3">
        <v>23.0</v>
      </c>
    </row>
    <row r="5">
      <c r="A5" s="3" t="s">
        <v>18</v>
      </c>
      <c r="B5" s="3">
        <v>22.0</v>
      </c>
    </row>
    <row r="6">
      <c r="A6" s="3" t="s">
        <v>102</v>
      </c>
      <c r="B6" s="3">
        <v>22.0</v>
      </c>
    </row>
    <row r="7">
      <c r="A7" s="3" t="s">
        <v>114</v>
      </c>
      <c r="B7" s="3">
        <v>5.0</v>
      </c>
    </row>
    <row r="8">
      <c r="A8" s="3" t="s">
        <v>23</v>
      </c>
      <c r="B8" s="3">
        <v>27.0</v>
      </c>
    </row>
    <row r="9">
      <c r="A9" s="3" t="s">
        <v>26</v>
      </c>
      <c r="B9" s="3">
        <v>13.0</v>
      </c>
    </row>
    <row r="10">
      <c r="A10" s="3" t="s">
        <v>27</v>
      </c>
      <c r="B10" s="3">
        <v>18.0</v>
      </c>
    </row>
    <row r="11">
      <c r="A11" s="3" t="s">
        <v>28</v>
      </c>
      <c r="B11" s="3">
        <v>7.0</v>
      </c>
    </row>
    <row r="12">
      <c r="A12" s="3" t="s">
        <v>32</v>
      </c>
      <c r="B12" s="3">
        <v>10.0</v>
      </c>
    </row>
    <row r="13">
      <c r="A13" s="3" t="s">
        <v>33</v>
      </c>
      <c r="B13" s="3">
        <v>14.0</v>
      </c>
    </row>
    <row r="14">
      <c r="A14" s="3" t="s">
        <v>34</v>
      </c>
      <c r="B14" s="3">
        <v>3.0</v>
      </c>
    </row>
    <row r="15">
      <c r="A15" s="3" t="s">
        <v>35</v>
      </c>
      <c r="B15" s="3">
        <v>12.0</v>
      </c>
    </row>
    <row r="16">
      <c r="A16" s="3" t="s">
        <v>115</v>
      </c>
      <c r="B16" s="3">
        <v>3.0</v>
      </c>
    </row>
    <row r="17">
      <c r="A17" s="3" t="s">
        <v>37</v>
      </c>
      <c r="B17" s="3">
        <v>11.0</v>
      </c>
    </row>
    <row r="18">
      <c r="A18" s="3" t="s">
        <v>38</v>
      </c>
      <c r="B18" s="3">
        <v>4.0</v>
      </c>
    </row>
    <row r="19">
      <c r="A19" s="3" t="s">
        <v>40</v>
      </c>
      <c r="B19" s="3">
        <v>10.0</v>
      </c>
    </row>
    <row r="20">
      <c r="A20" s="3" t="s">
        <v>41</v>
      </c>
      <c r="B20" s="3">
        <v>9.0</v>
      </c>
    </row>
    <row r="21">
      <c r="A21" s="3" t="s">
        <v>42</v>
      </c>
      <c r="B21" s="3">
        <v>8.0</v>
      </c>
    </row>
    <row r="22">
      <c r="A22" s="3" t="s">
        <v>43</v>
      </c>
      <c r="B22" s="3">
        <v>3.0</v>
      </c>
    </row>
    <row r="23">
      <c r="A23" s="3" t="s">
        <v>44</v>
      </c>
      <c r="B23" s="3">
        <v>27.0</v>
      </c>
    </row>
    <row r="24">
      <c r="A24" s="3" t="s">
        <v>45</v>
      </c>
      <c r="B24" s="3">
        <v>18.0</v>
      </c>
    </row>
    <row r="25">
      <c r="A25" s="3" t="s">
        <v>46</v>
      </c>
      <c r="B25" s="3">
        <v>3.0</v>
      </c>
    </row>
    <row r="26">
      <c r="A26" s="3" t="s">
        <v>47</v>
      </c>
      <c r="B26" s="3">
        <v>3.0</v>
      </c>
    </row>
    <row r="27">
      <c r="A27" s="3" t="s">
        <v>48</v>
      </c>
      <c r="B27" s="3">
        <v>14.0</v>
      </c>
    </row>
    <row r="28">
      <c r="A28" s="47" t="s">
        <v>50</v>
      </c>
      <c r="B28" s="4">
        <v>9.0</v>
      </c>
    </row>
  </sheetData>
  <drawing r:id="rId1"/>
</worksheet>
</file>